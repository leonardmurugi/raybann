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D377415-E409-4235-9E50-588050A5F524}" xr6:coauthVersionLast="47" xr6:coauthVersionMax="47" xr10:uidLastSave="{00000000-0000-0000-0000-000000000000}"/>
  <bookViews>
    <workbookView xWindow="-120" yWindow="-120" windowWidth="29040" windowHeight="15840" activeTab="3" xr2:uid="{562B42D6-512C-4B4A-9B6F-B5394616EFD3}"/>
  </bookViews>
  <sheets>
    <sheet name="Sheet1" sheetId="1" r:id="rId1"/>
    <sheet name="Sheet3" sheetId="3" r:id="rId2"/>
    <sheet name="Sheet2" sheetId="2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4" l="1"/>
  <c r="D23" i="4"/>
  <c r="H24" i="4" l="1"/>
  <c r="D25" i="4" s="1"/>
  <c r="H25" i="4" s="1"/>
  <c r="E81" i="3"/>
  <c r="D81" i="3"/>
  <c r="C81" i="3"/>
  <c r="B81" i="3"/>
  <c r="F80" i="3"/>
  <c r="G80" i="3" s="1"/>
  <c r="G79" i="3"/>
  <c r="F79" i="3"/>
  <c r="F78" i="3"/>
  <c r="G78" i="3" s="1"/>
  <c r="G77" i="3"/>
  <c r="F77" i="3"/>
  <c r="F76" i="3"/>
  <c r="G76" i="3" s="1"/>
  <c r="G75" i="3"/>
  <c r="F75" i="3"/>
  <c r="F81" i="3" s="1"/>
  <c r="D69" i="3"/>
  <c r="C69" i="3"/>
  <c r="B69" i="3"/>
  <c r="E68" i="3"/>
  <c r="E67" i="3"/>
  <c r="E66" i="3"/>
  <c r="E65" i="3"/>
  <c r="E64" i="3"/>
  <c r="E69" i="3" s="1"/>
  <c r="E58" i="3"/>
  <c r="D58" i="3"/>
  <c r="C58" i="3"/>
  <c r="B58" i="3"/>
  <c r="G57" i="3"/>
  <c r="F57" i="3"/>
  <c r="F56" i="3"/>
  <c r="G56" i="3" s="1"/>
  <c r="G55" i="3"/>
  <c r="F55" i="3"/>
  <c r="F54" i="3"/>
  <c r="F58" i="3" s="1"/>
  <c r="G53" i="3"/>
  <c r="F53" i="3"/>
  <c r="D46" i="3"/>
  <c r="C46" i="3"/>
  <c r="B46" i="3"/>
  <c r="E45" i="3"/>
  <c r="E44" i="3"/>
  <c r="E43" i="3"/>
  <c r="E42" i="3"/>
  <c r="E41" i="3"/>
  <c r="E46" i="3" s="1"/>
  <c r="E34" i="3"/>
  <c r="D34" i="3"/>
  <c r="C34" i="3"/>
  <c r="B34" i="3"/>
  <c r="F33" i="3"/>
  <c r="G33" i="3" s="1"/>
  <c r="G32" i="3"/>
  <c r="F32" i="3"/>
  <c r="F31" i="3"/>
  <c r="G31" i="3" s="1"/>
  <c r="G30" i="3"/>
  <c r="F30" i="3"/>
  <c r="F29" i="3"/>
  <c r="G29" i="3" s="1"/>
  <c r="G28" i="3"/>
  <c r="F28" i="3"/>
  <c r="F27" i="3"/>
  <c r="G27" i="3" s="1"/>
  <c r="G26" i="3"/>
  <c r="F26" i="3"/>
  <c r="F34" i="3" s="1"/>
  <c r="D19" i="3"/>
  <c r="C19" i="3"/>
  <c r="B19" i="3"/>
  <c r="E18" i="3"/>
  <c r="E17" i="3"/>
  <c r="E16" i="3"/>
  <c r="E15" i="3"/>
  <c r="E14" i="3"/>
  <c r="E19" i="3" s="1"/>
  <c r="G8" i="3"/>
  <c r="G76" i="1"/>
  <c r="F76" i="1"/>
  <c r="F69" i="1"/>
  <c r="G69" i="1" s="1"/>
  <c r="G62" i="1"/>
  <c r="F62" i="1"/>
  <c r="F55" i="1"/>
  <c r="G55" i="1" s="1"/>
  <c r="G47" i="1"/>
  <c r="F47" i="1"/>
  <c r="F37" i="1"/>
  <c r="G37" i="1" s="1"/>
  <c r="G29" i="1"/>
  <c r="F29" i="1"/>
  <c r="F18" i="1"/>
  <c r="G18" i="1" s="1"/>
  <c r="G14" i="1"/>
  <c r="F14" i="1"/>
  <c r="G111" i="2"/>
  <c r="H111" i="2" s="1"/>
  <c r="G101" i="2"/>
  <c r="H101" i="2" s="1"/>
  <c r="G91" i="2"/>
  <c r="H91" i="2" s="1"/>
  <c r="G85" i="2"/>
  <c r="H85" i="2" s="1"/>
  <c r="G79" i="2"/>
  <c r="H79" i="2" s="1"/>
  <c r="G74" i="2"/>
  <c r="H74" i="2" s="1"/>
  <c r="G68" i="2"/>
  <c r="H68" i="2" s="1"/>
  <c r="G59" i="2"/>
  <c r="H59" i="2" s="1"/>
  <c r="G48" i="2"/>
  <c r="H48" i="2" s="1"/>
  <c r="G31" i="2"/>
  <c r="H31" i="2" s="1"/>
  <c r="G14" i="2"/>
  <c r="H14" i="2" s="1"/>
  <c r="G5" i="2"/>
  <c r="H5" i="2" s="1"/>
  <c r="G34" i="3" l="1"/>
  <c r="G81" i="3"/>
  <c r="G54" i="3"/>
  <c r="G5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RAYBANN</author>
  </authors>
  <commentList>
    <comment ref="A20" authorId="0" shapeId="0" xr:uid="{67E4AC17-8AA9-46F8-8E2B-E4B337A2AD9B}">
      <text>
        <r>
          <rPr>
            <b/>
            <sz val="9"/>
            <color indexed="81"/>
            <rFont val="Tahoma"/>
            <charset val="1"/>
          </rPr>
          <t>RAYBANN: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sz val="9"/>
            <color indexed="81"/>
            <rFont val="Sylfaen"/>
            <family val="1"/>
          </rPr>
          <t>ID:24371431
0725718302-BONIFACE
0728836271-BETTY</t>
        </r>
      </text>
    </comment>
    <comment ref="F47" authorId="0" shapeId="0" xr:uid="{8DE89A65-1C23-4A00-840F-0096338F64FB}">
      <text>
        <r>
          <rPr>
            <b/>
            <sz val="9"/>
            <color indexed="81"/>
            <rFont val="Tahoma"/>
            <family val="2"/>
          </rPr>
          <t>RAYBANN:</t>
        </r>
        <r>
          <rPr>
            <sz val="9"/>
            <color indexed="81"/>
            <rFont val="Tahoma"/>
            <family val="2"/>
          </rPr>
          <t xml:space="preserve">
5th installment</t>
        </r>
      </text>
    </comment>
    <comment ref="F55" authorId="0" shapeId="0" xr:uid="{97CEC3D0-6CAA-47E0-AD06-99CD8C917FA7}">
      <text>
        <r>
          <rPr>
            <b/>
            <sz val="9"/>
            <color indexed="81"/>
            <rFont val="SimSun"/>
          </rPr>
          <t>RAYBANN:</t>
        </r>
        <r>
          <rPr>
            <sz val="9"/>
            <color indexed="81"/>
            <rFont val="Tahoma"/>
            <charset val="1"/>
          </rPr>
          <t xml:space="preserve">
TO PAY B4 5TH JAN</t>
        </r>
      </text>
    </comment>
    <comment ref="A57" authorId="0" shapeId="0" xr:uid="{81D75A35-9833-4F15-ADED-7904D74F0477}">
      <text>
        <r>
          <rPr>
            <b/>
            <sz val="9"/>
            <color indexed="81"/>
            <rFont val="Tahoma"/>
            <charset val="1"/>
          </rPr>
          <t>RAYBANN: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sz val="9"/>
            <color indexed="81"/>
            <rFont val="Imprint MT Shadow"/>
            <family val="5"/>
          </rPr>
          <t>0722 425 472
6- month
15th DEC INSTALLMENT</t>
        </r>
      </text>
    </comment>
    <comment ref="F62" authorId="0" shapeId="0" xr:uid="{8CD1A283-0C1E-42CE-9E04-17AA1FDA14EC}">
      <text>
        <r>
          <rPr>
            <b/>
            <sz val="9"/>
            <color indexed="81"/>
            <rFont val="Tahoma"/>
            <family val="2"/>
          </rPr>
          <t>RAYBANN: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Franklin Gothic Demi"/>
            <family val="2"/>
          </rPr>
          <t>15TH INSTALLMENT</t>
        </r>
      </text>
    </comment>
    <comment ref="B64" authorId="0" shapeId="0" xr:uid="{1A7BA651-9A56-40A9-8CE5-5EC6C8C28CA7}">
      <text>
        <r>
          <rPr>
            <b/>
            <sz val="9"/>
            <color indexed="81"/>
            <rFont val="Tahoma"/>
            <charset val="1"/>
          </rPr>
          <t>RAYBANN:</t>
        </r>
        <r>
          <rPr>
            <sz val="9"/>
            <color indexed="81"/>
            <rFont val="Tahoma"/>
            <charset val="1"/>
          </rPr>
          <t xml:space="preserve">
Relocated From KCA I Plot 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5" authorId="0" shapeId="0" xr:uid="{D8A2D7AC-701B-425D-B2A0-80BF48E38CF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Stencilia-A"/>
          </rPr>
          <t>NEXT OF KIN</t>
        </r>
        <r>
          <rPr>
            <sz val="9"/>
            <color indexed="81"/>
            <rFont val="Tahoma"/>
            <family val="2"/>
          </rPr>
          <t xml:space="preserve">
DRAVEEN EDMOND ADIKA
BIRTH CERT NO.:</t>
        </r>
      </text>
    </comment>
    <comment ref="A17" authorId="0" shapeId="0" xr:uid="{7A04D3BC-5E01-4FF2-8E57-C60E9C28D46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RECRUIT: 8/11/2022</t>
        </r>
      </text>
    </comment>
    <comment ref="A44" authorId="0" shapeId="0" xr:uid="{281C7EFC-AD9C-4F6D-8F94-F7791270063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RECRUIT: 8/11/2022</t>
        </r>
      </text>
    </comment>
    <comment ref="A67" authorId="0" shapeId="0" xr:uid="{8C5AFEFA-E6E6-479C-AD18-096562D8DF4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RECRUIT: 8/11/2022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RAYBANN</author>
  </authors>
  <commentList>
    <comment ref="B2" authorId="0" shapeId="0" xr:uid="{E5864344-827B-4B85-B38D-C5967BCD65EA}">
      <text>
        <r>
          <rPr>
            <b/>
            <sz val="9"/>
            <color indexed="81"/>
            <rFont val="Tahoma"/>
            <charset val="1"/>
          </rPr>
          <t>RAYBANN:</t>
        </r>
        <r>
          <rPr>
            <sz val="9"/>
            <color indexed="81"/>
            <rFont val="Tahoma"/>
            <charset val="1"/>
          </rPr>
          <t xml:space="preserve">
kajiado/kpt-nrth/149150</t>
        </r>
      </text>
    </comment>
    <comment ref="C2" authorId="0" shapeId="0" xr:uid="{F647653D-8D18-4966-B092-43AB9159AFB7}">
      <text>
        <r>
          <rPr>
            <b/>
            <sz val="9"/>
            <color indexed="81"/>
            <rFont val="Tahoma"/>
            <family val="2"/>
          </rPr>
          <t>RAYBANN:</t>
        </r>
        <r>
          <rPr>
            <sz val="9"/>
            <color indexed="81"/>
            <rFont val="Tahoma"/>
            <family val="2"/>
          </rPr>
          <t xml:space="preserve">
KCA GARDENS PHASE 1</t>
        </r>
      </text>
    </comment>
    <comment ref="C7" authorId="0" shapeId="0" xr:uid="{42926CB8-26BD-49DC-8C15-55267CB27C0B}">
      <text>
        <r>
          <rPr>
            <b/>
            <sz val="9"/>
            <color indexed="81"/>
            <rFont val="Tahoma"/>
            <family val="2"/>
          </rPr>
          <t>RAYBANN: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Rockwell Condensed"/>
            <family val="1"/>
          </rPr>
          <t>DEBTS</t>
        </r>
      </text>
    </comment>
    <comment ref="B16" authorId="0" shapeId="0" xr:uid="{FB4FF6CB-3BA5-4F06-BEED-1B8008E4E676}">
      <text>
        <r>
          <rPr>
            <b/>
            <sz val="9"/>
            <color indexed="81"/>
            <rFont val="Tahoma"/>
            <charset val="1"/>
          </rPr>
          <t>RAYBANN:</t>
        </r>
        <r>
          <rPr>
            <sz val="9"/>
            <color indexed="81"/>
            <rFont val="Tahoma"/>
            <charset val="1"/>
          </rPr>
          <t xml:space="preserve">
kjd/kpti nrth/127484</t>
        </r>
      </text>
    </comment>
    <comment ref="F29" authorId="0" shapeId="0" xr:uid="{97F78FD1-0C86-4F28-B91C-D52AC7CC8106}">
      <text>
        <r>
          <rPr>
            <b/>
            <sz val="9"/>
            <color indexed="81"/>
            <rFont val="Tahoma"/>
            <charset val="1"/>
          </rPr>
          <t>RAYBANN:</t>
        </r>
        <r>
          <rPr>
            <sz val="9"/>
            <color indexed="81"/>
            <rFont val="Tahoma"/>
            <charset val="1"/>
          </rPr>
          <t xml:space="preserve">
To Jesse kisiemei(debt)</t>
        </r>
      </text>
    </comment>
    <comment ref="D38" authorId="0" shapeId="0" xr:uid="{6A87F2A8-AE89-4AA0-94D2-B3F5B43FF325}">
      <text>
        <r>
          <rPr>
            <b/>
            <sz val="9"/>
            <color indexed="81"/>
            <rFont val="Tahoma"/>
            <family val="2"/>
          </rPr>
          <t>RAYBANN:</t>
        </r>
        <r>
          <rPr>
            <sz val="9"/>
            <color indexed="81"/>
            <rFont val="Tahoma"/>
            <family val="2"/>
          </rPr>
          <t xml:space="preserve">
Weddng
</t>
        </r>
      </text>
    </comment>
    <comment ref="D39" authorId="0" shapeId="0" xr:uid="{172CFB41-E472-4DC4-B5B6-F2B469096ECD}">
      <text>
        <r>
          <rPr>
            <b/>
            <sz val="9"/>
            <color indexed="81"/>
            <rFont val="Tahoma"/>
            <family val="2"/>
          </rPr>
          <t>RAYBANN:</t>
        </r>
        <r>
          <rPr>
            <sz val="9"/>
            <color indexed="81"/>
            <rFont val="Tahoma"/>
            <family val="2"/>
          </rPr>
          <t xml:space="preserve">
Pet:5,000 
</t>
        </r>
      </text>
    </comment>
    <comment ref="D40" authorId="0" shapeId="0" xr:uid="{A3491731-70ED-4C69-8D8E-B799934FCC05}">
      <text>
        <r>
          <rPr>
            <b/>
            <sz val="9"/>
            <color indexed="81"/>
            <rFont val="Tahoma"/>
            <family val="2"/>
          </rPr>
          <t>RAYBANN:</t>
        </r>
        <r>
          <rPr>
            <sz val="9"/>
            <color indexed="81"/>
            <rFont val="Tahoma"/>
            <family val="2"/>
          </rPr>
          <t xml:space="preserve">
ntsa+valuer=4,500</t>
        </r>
      </text>
    </comment>
    <comment ref="F44" authorId="0" shapeId="0" xr:uid="{2EA3CA63-00C4-4EB2-BD2F-801F757ADDA8}">
      <text>
        <r>
          <rPr>
            <b/>
            <sz val="9"/>
            <color indexed="81"/>
            <rFont val="Tahoma"/>
            <charset val="1"/>
          </rPr>
          <t>RAYBANN:</t>
        </r>
        <r>
          <rPr>
            <sz val="9"/>
            <color indexed="81"/>
            <rFont val="Tahoma"/>
            <charset val="1"/>
          </rPr>
          <t xml:space="preserve">
To emily </t>
        </r>
      </text>
    </comment>
    <comment ref="C50" authorId="0" shapeId="0" xr:uid="{350C5418-EB04-46DB-9E44-4A1E6A8F80FA}">
      <text>
        <r>
          <rPr>
            <b/>
            <sz val="9"/>
            <color indexed="81"/>
            <rFont val="Tahoma"/>
            <family val="2"/>
          </rPr>
          <t>RAYBANN:</t>
        </r>
        <r>
          <rPr>
            <sz val="9"/>
            <color indexed="81"/>
            <rFont val="Tahoma"/>
            <family val="2"/>
          </rPr>
          <t xml:space="preserve">
DEBTS</t>
        </r>
      </text>
    </comment>
    <comment ref="C61" authorId="0" shapeId="0" xr:uid="{0FE84A4B-52A0-42D1-B96A-0F873025521C}">
      <text>
        <r>
          <rPr>
            <b/>
            <sz val="9"/>
            <color indexed="81"/>
            <rFont val="Tahoma"/>
            <family val="2"/>
          </rPr>
          <t>RAYBANN:</t>
        </r>
        <r>
          <rPr>
            <sz val="9"/>
            <color indexed="81"/>
            <rFont val="Tahoma"/>
            <family val="2"/>
          </rPr>
          <t xml:space="preserve">
COMMISSION-DEBTS</t>
        </r>
      </text>
    </comment>
    <comment ref="C70" authorId="0" shapeId="0" xr:uid="{581B57AE-526D-49F2-A493-83D0F9F38DFF}">
      <text>
        <r>
          <rPr>
            <b/>
            <sz val="9"/>
            <color indexed="81"/>
            <rFont val="Tahoma"/>
            <family val="2"/>
          </rPr>
          <t>RAYBANN:</t>
        </r>
        <r>
          <rPr>
            <sz val="9"/>
            <color indexed="81"/>
            <rFont val="Tahoma"/>
            <family val="2"/>
          </rPr>
          <t xml:space="preserve">
LUXURY PLOT 9</t>
        </r>
      </text>
    </comment>
    <comment ref="C76" authorId="0" shapeId="0" xr:uid="{2E559027-4DEB-4026-9733-850E32203A7C}">
      <text>
        <r>
          <rPr>
            <b/>
            <sz val="9"/>
            <color indexed="81"/>
            <rFont val="Tahoma"/>
            <family val="2"/>
          </rPr>
          <t>RAYBANN:</t>
        </r>
        <r>
          <rPr>
            <sz val="9"/>
            <color indexed="81"/>
            <rFont val="Tahoma"/>
            <family val="2"/>
          </rPr>
          <t xml:space="preserve">
LUXURY PLOT 10</t>
        </r>
      </text>
    </comment>
    <comment ref="A87" authorId="0" shapeId="0" xr:uid="{38286792-2C10-42B9-B0A8-54D0D71DEE84}">
      <text>
        <r>
          <rPr>
            <b/>
            <sz val="9"/>
            <color indexed="81"/>
            <rFont val="Tahoma"/>
            <charset val="1"/>
          </rPr>
          <t>RAYBANN:</t>
        </r>
        <r>
          <rPr>
            <sz val="9"/>
            <color indexed="81"/>
            <rFont val="Tahoma"/>
            <charset val="1"/>
          </rPr>
          <t xml:space="preserve">
KCA PHASE 4
ALL PAYMENTS CHANNELLED TO MR JACKSON NTELE SUYIANKA OF 0721298699
ACC. 070019277580(Equity)</t>
        </r>
      </text>
    </comment>
    <comment ref="B87" authorId="0" shapeId="0" xr:uid="{675496AC-BEFA-4BA0-9AA1-233177C12F0C}">
      <text>
        <r>
          <rPr>
            <b/>
            <sz val="9"/>
            <color indexed="81"/>
            <rFont val="Tahoma"/>
            <charset val="1"/>
          </rPr>
          <t>RAYBANN:</t>
        </r>
        <r>
          <rPr>
            <sz val="9"/>
            <color indexed="81"/>
            <rFont val="Tahoma"/>
            <charset val="1"/>
          </rPr>
          <t xml:space="preserve">
kajiado/kpt-nrth/149392</t>
        </r>
      </text>
    </comment>
    <comment ref="F87" authorId="0" shapeId="0" xr:uid="{1FF86169-F5C9-45EE-8C59-BA0AFA2AB4D9}">
      <text>
        <r>
          <rPr>
            <b/>
            <sz val="9"/>
            <color indexed="81"/>
            <rFont val="Tahoma"/>
            <charset val="1"/>
          </rPr>
          <t>RAYBANN:</t>
        </r>
        <r>
          <rPr>
            <sz val="9"/>
            <color indexed="81"/>
            <rFont val="Tahoma"/>
            <charset val="1"/>
          </rPr>
          <t xml:space="preserve">
Personal acc.</t>
        </r>
      </text>
    </comment>
    <comment ref="F88" authorId="0" shapeId="0" xr:uid="{1F6DDD53-4F00-45DD-BCB5-4636EE352C2C}">
      <text>
        <r>
          <rPr>
            <b/>
            <sz val="9"/>
            <color indexed="81"/>
            <rFont val="Tahoma"/>
            <charset val="1"/>
          </rPr>
          <t>RAYBANN:</t>
        </r>
        <r>
          <rPr>
            <sz val="9"/>
            <color indexed="81"/>
            <rFont val="Tahoma"/>
            <charset val="1"/>
          </rPr>
          <t xml:space="preserve">
Company</t>
        </r>
      </text>
    </comment>
  </commentList>
</comments>
</file>

<file path=xl/sharedStrings.xml><?xml version="1.0" encoding="utf-8"?>
<sst xmlns="http://schemas.openxmlformats.org/spreadsheetml/2006/main" count="287" uniqueCount="131">
  <si>
    <t>DEBT</t>
  </si>
  <si>
    <t>AMOUNT</t>
  </si>
  <si>
    <t>PAID</t>
  </si>
  <si>
    <t>DATE</t>
  </si>
  <si>
    <t>MODE(FROM)</t>
  </si>
  <si>
    <t>TOTAL PAID</t>
  </si>
  <si>
    <t>BALANCE</t>
  </si>
  <si>
    <t>NCBA</t>
  </si>
  <si>
    <t>cleared</t>
  </si>
  <si>
    <t>MPESA</t>
  </si>
  <si>
    <t>JACKSON LEKISHON MASOON</t>
  </si>
  <si>
    <t xml:space="preserve"> 22/08/2025</t>
  </si>
  <si>
    <t xml:space="preserve"> 25/09/2025</t>
  </si>
  <si>
    <t>CASH</t>
  </si>
  <si>
    <t>BETT SURVEYOR</t>
  </si>
  <si>
    <t>TOTONA</t>
  </si>
  <si>
    <t>SURVEYOR AMAGORO</t>
  </si>
  <si>
    <t>CUSTOMER NAME</t>
  </si>
  <si>
    <t>PLOT DESCRIPTION</t>
  </si>
  <si>
    <t>ACTUAL PAYMENT</t>
  </si>
  <si>
    <t>STATUS/TOTAL PAID</t>
  </si>
  <si>
    <t>BALANCE(C-F)</t>
  </si>
  <si>
    <t>TOTAL DEBT</t>
  </si>
  <si>
    <t>KAG  PLOT 24</t>
  </si>
  <si>
    <t>TP B4 15TH OCT</t>
  </si>
  <si>
    <t>KCA I PLOT 3</t>
  </si>
  <si>
    <t>KCA III PLOT 4</t>
  </si>
  <si>
    <t>KCA I PLOT 5</t>
  </si>
  <si>
    <t>To pay On 13th sept 2025</t>
  </si>
  <si>
    <t>KCA II PLOT 36</t>
  </si>
  <si>
    <t>KCA I PLOT 1,2</t>
  </si>
  <si>
    <t>LUXURY PLOTS 9</t>
  </si>
  <si>
    <t>KCA II PLOT 1</t>
  </si>
  <si>
    <t>KCA I PLOT 4</t>
  </si>
  <si>
    <t>AUGUST SALES AS OF 31/8/2025</t>
  </si>
  <si>
    <t>No. of plots</t>
  </si>
  <si>
    <t>CLIENT NAME</t>
  </si>
  <si>
    <t>PROPERTY</t>
  </si>
  <si>
    <t>AMT. INVESTED</t>
  </si>
  <si>
    <t>DEPOSIT</t>
  </si>
  <si>
    <t>STAFF</t>
  </si>
  <si>
    <t>KCA PLOT 1</t>
  </si>
  <si>
    <t>EMMY</t>
  </si>
  <si>
    <t>KISAJU PLOT 19</t>
  </si>
  <si>
    <t>KAG PLOT 24</t>
  </si>
  <si>
    <t>RONALD</t>
  </si>
  <si>
    <t>TOTAL</t>
  </si>
  <si>
    <t>RAYBANN STAFF DEDUCTIONS  SCHEDULE - AUGUST 2025</t>
  </si>
  <si>
    <t>NAME</t>
  </si>
  <si>
    <t>ADVANCE</t>
  </si>
  <si>
    <t>ADVERT</t>
  </si>
  <si>
    <t>LATENESS/DISCP</t>
  </si>
  <si>
    <t>TOTAL DEDUCTIONS</t>
  </si>
  <si>
    <t>END OF AUGUST 2025 PAYMENT STRUCTURE</t>
  </si>
  <si>
    <t>BASIC</t>
  </si>
  <si>
    <t>COMMISSION</t>
  </si>
  <si>
    <t>TRANSPORT</t>
  </si>
  <si>
    <t>DEDUCTIONS</t>
  </si>
  <si>
    <t>GROSS</t>
  </si>
  <si>
    <t xml:space="preserve">NET </t>
  </si>
  <si>
    <t>REPORTING DATE</t>
  </si>
  <si>
    <t>EMMY(BROCKER)</t>
  </si>
  <si>
    <t>RONALD(BROCKER)</t>
  </si>
  <si>
    <t>RAYBANN STAFF DEDUCTIONS  SCHEDULE - SEPT 2025</t>
  </si>
  <si>
    <t>END OF SEPTEMBER 2025 PAYMENT STRUCTURE</t>
  </si>
  <si>
    <t>END OF OCTOBER 2025 PAYMENT STRUCTURE</t>
  </si>
  <si>
    <t>RAYBANN PROPERTIES LTD</t>
  </si>
  <si>
    <t>Petty Cash Book Template</t>
  </si>
  <si>
    <t>Raybann Properties LTD</t>
  </si>
  <si>
    <t xml:space="preserve">Petty Cash Book For the month of </t>
  </si>
  <si>
    <t xml:space="preserve">Debit </t>
  </si>
  <si>
    <t>Credit</t>
  </si>
  <si>
    <t>Date</t>
  </si>
  <si>
    <t>Description</t>
  </si>
  <si>
    <t>CBN</t>
  </si>
  <si>
    <t>Amount</t>
  </si>
  <si>
    <t>VN</t>
  </si>
  <si>
    <t>Opening Balance</t>
  </si>
  <si>
    <t>CB01-01</t>
  </si>
  <si>
    <t>Courier</t>
  </si>
  <si>
    <t>Office Pantry</t>
  </si>
  <si>
    <t>Stationary</t>
  </si>
  <si>
    <t>Travelling Expenses</t>
  </si>
  <si>
    <t>Office Equipment Repair</t>
  </si>
  <si>
    <t>Telephone Bill</t>
  </si>
  <si>
    <t>Fuel (Office Vehicle)</t>
  </si>
  <si>
    <t>Advertising (Banners)</t>
  </si>
  <si>
    <t>Petty Cash Issued</t>
  </si>
  <si>
    <t>Petty Cash Expenses</t>
  </si>
  <si>
    <t>Actual Petty Cash on Hand</t>
  </si>
  <si>
    <t>Petty Cash on Hand</t>
  </si>
  <si>
    <t>Reconciliation Difference</t>
  </si>
  <si>
    <t>Reconciliation Status</t>
  </si>
  <si>
    <t xml:space="preserve">JOYCE </t>
  </si>
  <si>
    <t xml:space="preserve">WAVUA </t>
  </si>
  <si>
    <t xml:space="preserve">MARK </t>
  </si>
  <si>
    <t xml:space="preserve">ELIZABETH </t>
  </si>
  <si>
    <t xml:space="preserve">BONIFACE </t>
  </si>
  <si>
    <t xml:space="preserve">EMMAH </t>
  </si>
  <si>
    <t xml:space="preserve">MILLICENT </t>
  </si>
  <si>
    <t xml:space="preserve">JANE </t>
  </si>
  <si>
    <t xml:space="preserve">SIMON </t>
  </si>
  <si>
    <t>ELIZABETH</t>
  </si>
  <si>
    <t xml:space="preserve">EDWINE </t>
  </si>
  <si>
    <t xml:space="preserve">SAMUEL </t>
  </si>
  <si>
    <t xml:space="preserve">CHRISTINE </t>
  </si>
  <si>
    <t xml:space="preserve">ELIJAH </t>
  </si>
  <si>
    <t xml:space="preserve">SHARON </t>
  </si>
  <si>
    <t xml:space="preserve">CLARAH </t>
  </si>
  <si>
    <t xml:space="preserve">WILSON </t>
  </si>
  <si>
    <t>decscriptn</t>
  </si>
  <si>
    <t>land purchase</t>
  </si>
  <si>
    <t>via Suzanne wakili</t>
  </si>
  <si>
    <t xml:space="preserve">EMILY </t>
  </si>
  <si>
    <t>survey work</t>
  </si>
  <si>
    <t>camera purchase</t>
  </si>
  <si>
    <t xml:space="preserve">VICTOR </t>
  </si>
  <si>
    <t xml:space="preserve">JUSTINA </t>
  </si>
  <si>
    <t>debt</t>
  </si>
  <si>
    <t>commission</t>
  </si>
  <si>
    <t>land owner debt</t>
  </si>
  <si>
    <t xml:space="preserve">JOSEPH  AND SAMUEL </t>
  </si>
  <si>
    <t>land broker kajiado/kpt-nrth/149392</t>
  </si>
  <si>
    <t>kajiado/kpt-nrth/149392</t>
  </si>
  <si>
    <t>title transfer</t>
  </si>
  <si>
    <t xml:space="preserve">EZEKIEL </t>
  </si>
  <si>
    <t xml:space="preserve">JACKSON </t>
  </si>
  <si>
    <t>JESSE</t>
  </si>
  <si>
    <t>Stationery</t>
  </si>
  <si>
    <t>Bike Expenses</t>
  </si>
  <si>
    <t>Breakfast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</si>
</sst>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&quot;Ksh&quot;#,##0.00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rial Black"/>
      <family val="2"/>
    </font>
    <font>
      <b/>
      <sz val="11"/>
      <color theme="0"/>
      <name val="Franklin Gothic Book"/>
      <family val="2"/>
    </font>
    <font>
      <sz val="11"/>
      <name val="Franklin Gothic Book"/>
      <family val="2"/>
    </font>
    <font>
      <b/>
      <sz val="11"/>
      <color theme="0"/>
      <name val="Arial Rounded MT Bold"/>
      <family val="2"/>
    </font>
    <font>
      <sz val="11"/>
      <color theme="0"/>
      <name val="Arial Rounded MT Bold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Rockwell Condensed"/>
      <family val="1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u val="double"/>
      <sz val="11"/>
      <color rgb="FFFF0000"/>
      <name val="Arial Narrow"/>
      <family val="2"/>
    </font>
    <font>
      <b/>
      <u/>
      <sz val="11"/>
      <color rgb="FFFF0000"/>
      <name val="Arial Narrow"/>
      <family val="2"/>
    </font>
    <font>
      <sz val="11"/>
      <color theme="1"/>
      <name val="Arial Narrow"/>
      <family val="2"/>
    </font>
    <font>
      <sz val="11"/>
      <color rgb="FFFF0000"/>
      <name val="Arial Narrow"/>
      <family val="2"/>
    </font>
    <font>
      <sz val="9"/>
      <color indexed="81"/>
      <name val="Sylfaen"/>
      <family val="1"/>
    </font>
    <font>
      <b/>
      <sz val="9"/>
      <color indexed="81"/>
      <name val="SimSun"/>
    </font>
    <font>
      <sz val="9"/>
      <color indexed="81"/>
      <name val="Imprint MT Shadow"/>
      <family val="5"/>
    </font>
    <font>
      <sz val="9"/>
      <color indexed="81"/>
      <name val="Franklin Gothic Demi"/>
      <family val="2"/>
    </font>
    <font>
      <b/>
      <sz val="12"/>
      <color theme="1"/>
      <name val="Arial"/>
      <family val="2"/>
    </font>
    <font>
      <b/>
      <sz val="11"/>
      <color theme="1"/>
      <name val="Arial Narrow"/>
      <family val="2"/>
    </font>
    <font>
      <b/>
      <sz val="12"/>
      <color theme="1"/>
      <name val="Agency FB"/>
      <family val="2"/>
    </font>
    <font>
      <sz val="14"/>
      <color theme="1"/>
      <name val="Arial Rounded MT Bold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0"/>
      <name val="Calibri"/>
      <family val="2"/>
      <scheme val="minor"/>
    </font>
    <font>
      <b/>
      <sz val="11"/>
      <color theme="0"/>
      <name val="Arial Narrow"/>
      <family val="2"/>
    </font>
    <font>
      <sz val="11"/>
      <name val="Arial Narrow"/>
      <family val="2"/>
    </font>
    <font>
      <b/>
      <sz val="12"/>
      <color rgb="FFFF0000"/>
      <name val="Bodoni MT"/>
      <family val="1"/>
    </font>
    <font>
      <b/>
      <sz val="9"/>
      <color indexed="81"/>
      <name val="Stencilia-A"/>
    </font>
    <font>
      <b/>
      <sz val="35"/>
      <color rgb="FFFF3300"/>
      <name val="Bell MT"/>
      <family val="1"/>
    </font>
    <font>
      <b/>
      <sz val="35"/>
      <color rgb="FFFF3300"/>
      <name val="Calibri"/>
      <family val="2"/>
      <scheme val="minor"/>
    </font>
    <font>
      <b/>
      <sz val="20"/>
      <color rgb="FF002060"/>
      <name val="Arial Narrow"/>
      <family val="2"/>
    </font>
    <font>
      <b/>
      <sz val="20"/>
      <color rgb="FFFF3300"/>
      <name val="Arial Narrow"/>
      <family val="2"/>
    </font>
    <font>
      <b/>
      <sz val="15"/>
      <color theme="0"/>
      <name val="Arial Rounded MT Bold"/>
      <family val="2"/>
    </font>
    <font>
      <sz val="12"/>
      <color theme="1"/>
      <name val="Aptos Display"/>
      <family val="2"/>
    </font>
    <font>
      <b/>
      <sz val="1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5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33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3300"/>
      </left>
      <right style="thin">
        <color rgb="FFFF3300"/>
      </right>
      <top style="thin">
        <color rgb="FFFF3300"/>
      </top>
      <bottom style="thin">
        <color rgb="FFFF3300"/>
      </bottom>
      <diagonal/>
    </border>
    <border>
      <left/>
      <right/>
      <top/>
      <bottom style="thin">
        <color rgb="FFFF3300"/>
      </bottom>
      <diagonal/>
    </border>
    <border>
      <left style="thin">
        <color rgb="FFFF3300"/>
      </left>
      <right style="thin">
        <color rgb="FFFF3300"/>
      </right>
      <top style="thin">
        <color rgb="FFFF3300"/>
      </top>
      <bottom/>
      <diagonal/>
    </border>
    <border>
      <left style="thin">
        <color rgb="FFFF3300"/>
      </left>
      <right/>
      <top style="thin">
        <color rgb="FFFF3300"/>
      </top>
      <bottom style="thin">
        <color rgb="FFFF3300"/>
      </bottom>
      <diagonal/>
    </border>
    <border>
      <left/>
      <right/>
      <top style="thin">
        <color rgb="FFFF3300"/>
      </top>
      <bottom style="thin">
        <color rgb="FFFF3300"/>
      </bottom>
      <diagonal/>
    </border>
    <border>
      <left/>
      <right style="thin">
        <color rgb="FFFF3300"/>
      </right>
      <top style="thin">
        <color rgb="FFFF3300"/>
      </top>
      <bottom style="thin">
        <color rgb="FFFF3300"/>
      </bottom>
      <diagonal/>
    </border>
    <border>
      <left style="thin">
        <color rgb="FFFF3300"/>
      </left>
      <right style="thin">
        <color rgb="FFFF3300"/>
      </right>
      <top style="thin">
        <color rgb="FFFF3300"/>
      </top>
      <bottom style="thin">
        <color theme="0"/>
      </bottom>
      <diagonal/>
    </border>
    <border>
      <left/>
      <right style="thin">
        <color theme="0"/>
      </right>
      <top style="thin">
        <color rgb="FFFF3300"/>
      </top>
      <bottom style="thin">
        <color rgb="FFFF3300"/>
      </bottom>
      <diagonal/>
    </border>
    <border>
      <left style="thin">
        <color theme="0"/>
      </left>
      <right style="thin">
        <color rgb="FFFF3300"/>
      </right>
      <top style="thin">
        <color rgb="FFFF3300"/>
      </top>
      <bottom style="thin">
        <color theme="0"/>
      </bottom>
      <diagonal/>
    </border>
    <border>
      <left style="thin">
        <color rgb="FFFF3300"/>
      </left>
      <right style="thin">
        <color rgb="FFFF330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FF3300"/>
      </right>
      <top style="thin">
        <color theme="0"/>
      </top>
      <bottom style="thin">
        <color theme="0"/>
      </bottom>
      <diagonal/>
    </border>
    <border>
      <left style="thin">
        <color rgb="FFFF3300"/>
      </left>
      <right style="thin">
        <color rgb="FFFF3300"/>
      </right>
      <top style="thin">
        <color theme="0"/>
      </top>
      <bottom style="thin">
        <color rgb="FFFF3300"/>
      </bottom>
      <diagonal/>
    </border>
    <border>
      <left style="thin">
        <color theme="0"/>
      </left>
      <right style="thin">
        <color rgb="FFFF3300"/>
      </right>
      <top style="thin">
        <color theme="0"/>
      </top>
      <bottom style="thin">
        <color rgb="FFFF33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3" fillId="2" borderId="1" xfId="0" applyFont="1" applyFill="1" applyBorder="1" applyAlignment="1">
      <alignment horizontal="center"/>
    </xf>
    <xf numFmtId="43" fontId="3" fillId="2" borderId="1" xfId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43" fontId="3" fillId="2" borderId="2" xfId="1" applyFont="1" applyFill="1" applyBorder="1" applyAlignment="1">
      <alignment horizontal="center"/>
    </xf>
    <xf numFmtId="43" fontId="3" fillId="2" borderId="0" xfId="1" applyFont="1" applyFill="1"/>
    <xf numFmtId="0" fontId="4" fillId="3" borderId="0" xfId="0" applyFont="1" applyFill="1"/>
    <xf numFmtId="43" fontId="4" fillId="3" borderId="0" xfId="1" applyFont="1" applyFill="1"/>
    <xf numFmtId="14" fontId="4" fillId="3" borderId="0" xfId="0" applyNumberFormat="1" applyFont="1" applyFill="1"/>
    <xf numFmtId="43" fontId="4" fillId="3" borderId="0" xfId="1" applyFont="1" applyFill="1" applyAlignment="1">
      <alignment horizontal="center"/>
    </xf>
    <xf numFmtId="0" fontId="5" fillId="0" borderId="0" xfId="0" applyFont="1"/>
    <xf numFmtId="43" fontId="5" fillId="0" borderId="0" xfId="1" applyFont="1"/>
    <xf numFmtId="14" fontId="5" fillId="0" borderId="0" xfId="0" applyNumberFormat="1" applyFont="1"/>
    <xf numFmtId="14" fontId="4" fillId="3" borderId="0" xfId="0" applyNumberFormat="1" applyFont="1" applyFill="1" applyAlignment="1">
      <alignment horizontal="right"/>
    </xf>
    <xf numFmtId="14" fontId="5" fillId="0" borderId="0" xfId="0" applyNumberFormat="1" applyFont="1" applyAlignment="1">
      <alignment horizontal="right"/>
    </xf>
    <xf numFmtId="43" fontId="4" fillId="3" borderId="0" xfId="1" applyFont="1" applyFill="1" applyBorder="1"/>
    <xf numFmtId="43" fontId="6" fillId="3" borderId="0" xfId="1" applyFont="1" applyFill="1"/>
    <xf numFmtId="43" fontId="5" fillId="0" borderId="0" xfId="1" applyFont="1" applyFill="1"/>
    <xf numFmtId="43" fontId="7" fillId="0" borderId="0" xfId="1" applyFont="1" applyFill="1"/>
    <xf numFmtId="0" fontId="5" fillId="4" borderId="0" xfId="0" applyFont="1" applyFill="1"/>
    <xf numFmtId="43" fontId="5" fillId="4" borderId="0" xfId="1" applyFont="1" applyFill="1"/>
    <xf numFmtId="14" fontId="5" fillId="4" borderId="0" xfId="0" applyNumberFormat="1" applyFont="1" applyFill="1"/>
    <xf numFmtId="43" fontId="5" fillId="0" borderId="0" xfId="1" applyFont="1" applyBorder="1"/>
    <xf numFmtId="43" fontId="5" fillId="4" borderId="0" xfId="1" applyFont="1" applyFill="1" applyBorder="1"/>
    <xf numFmtId="43" fontId="0" fillId="0" borderId="0" xfId="1" applyFont="1"/>
    <xf numFmtId="14" fontId="0" fillId="0" borderId="0" xfId="0" applyNumberFormat="1"/>
    <xf numFmtId="43" fontId="4" fillId="5" borderId="0" xfId="1" applyFont="1" applyFill="1" applyBorder="1"/>
    <xf numFmtId="43" fontId="4" fillId="0" borderId="0" xfId="1" applyFont="1" applyFill="1" applyBorder="1"/>
    <xf numFmtId="0" fontId="5" fillId="6" borderId="0" xfId="0" applyFont="1" applyFill="1"/>
    <xf numFmtId="43" fontId="5" fillId="6" borderId="0" xfId="1" applyFont="1" applyFill="1" applyBorder="1"/>
    <xf numFmtId="14" fontId="5" fillId="6" borderId="0" xfId="0" applyNumberFormat="1" applyFont="1" applyFill="1"/>
    <xf numFmtId="43" fontId="5" fillId="6" borderId="0" xfId="1" applyFont="1" applyFill="1"/>
    <xf numFmtId="0" fontId="13" fillId="0" borderId="0" xfId="0" applyFont="1" applyAlignment="1">
      <alignment horizontal="center"/>
    </xf>
    <xf numFmtId="43" fontId="13" fillId="0" borderId="0" xfId="1" applyFont="1" applyAlignment="1">
      <alignment horizontal="center"/>
    </xf>
    <xf numFmtId="14" fontId="13" fillId="0" borderId="0" xfId="1" applyNumberFormat="1" applyFont="1" applyAlignment="1">
      <alignment horizontal="center"/>
    </xf>
    <xf numFmtId="43" fontId="14" fillId="0" borderId="0" xfId="1" applyFont="1" applyAlignment="1">
      <alignment horizontal="center"/>
    </xf>
    <xf numFmtId="0" fontId="15" fillId="7" borderId="0" xfId="0" applyFont="1" applyFill="1"/>
    <xf numFmtId="43" fontId="15" fillId="7" borderId="0" xfId="1" applyFont="1" applyFill="1"/>
    <xf numFmtId="14" fontId="15" fillId="7" borderId="0" xfId="0" applyNumberFormat="1" applyFont="1" applyFill="1"/>
    <xf numFmtId="43" fontId="15" fillId="0" borderId="0" xfId="1" applyFont="1"/>
    <xf numFmtId="0" fontId="16" fillId="8" borderId="0" xfId="0" applyFont="1" applyFill="1"/>
    <xf numFmtId="0" fontId="15" fillId="8" borderId="0" xfId="0" applyFont="1" applyFill="1"/>
    <xf numFmtId="43" fontId="15" fillId="8" borderId="0" xfId="1" applyFont="1" applyFill="1"/>
    <xf numFmtId="14" fontId="15" fillId="8" borderId="0" xfId="0" applyNumberFormat="1" applyFont="1" applyFill="1"/>
    <xf numFmtId="0" fontId="15" fillId="0" borderId="0" xfId="0" applyFont="1"/>
    <xf numFmtId="14" fontId="15" fillId="0" borderId="0" xfId="0" applyNumberFormat="1" applyFont="1"/>
    <xf numFmtId="0" fontId="15" fillId="9" borderId="0" xfId="0" applyFont="1" applyFill="1"/>
    <xf numFmtId="0" fontId="21" fillId="2" borderId="3" xfId="0" applyFont="1" applyFill="1" applyBorder="1" applyAlignment="1">
      <alignment horizontal="center"/>
    </xf>
    <xf numFmtId="0" fontId="21" fillId="2" borderId="4" xfId="0" applyFont="1" applyFill="1" applyBorder="1" applyAlignment="1">
      <alignment horizontal="center"/>
    </xf>
    <xf numFmtId="0" fontId="21" fillId="2" borderId="5" xfId="0" applyFont="1" applyFill="1" applyBorder="1" applyAlignment="1">
      <alignment horizontal="center"/>
    </xf>
    <xf numFmtId="43" fontId="22" fillId="2" borderId="6" xfId="1" applyFont="1" applyFill="1" applyBorder="1" applyAlignment="1">
      <alignment horizontal="right"/>
    </xf>
    <xf numFmtId="0" fontId="21" fillId="2" borderId="7" xfId="0" applyFont="1" applyFill="1" applyBorder="1" applyAlignment="1">
      <alignment horizontal="center"/>
    </xf>
    <xf numFmtId="0" fontId="21" fillId="2" borderId="8" xfId="0" applyFont="1" applyFill="1" applyBorder="1" applyAlignment="1">
      <alignment horizontal="center"/>
    </xf>
    <xf numFmtId="0" fontId="21" fillId="2" borderId="9" xfId="0" applyFont="1" applyFill="1" applyBorder="1" applyAlignment="1">
      <alignment horizontal="center"/>
    </xf>
    <xf numFmtId="43" fontId="22" fillId="2" borderId="2" xfId="1" applyFont="1" applyFill="1" applyBorder="1" applyAlignment="1">
      <alignment horizontal="right"/>
    </xf>
    <xf numFmtId="0" fontId="23" fillId="2" borderId="8" xfId="0" applyFont="1" applyFill="1" applyBorder="1" applyAlignment="1">
      <alignment horizontal="center"/>
    </xf>
    <xf numFmtId="43" fontId="23" fillId="2" borderId="8" xfId="1" applyFont="1" applyFill="1" applyBorder="1" applyAlignment="1">
      <alignment horizontal="center"/>
    </xf>
    <xf numFmtId="43" fontId="23" fillId="2" borderId="1" xfId="1" applyFont="1" applyFill="1" applyBorder="1" applyAlignment="1">
      <alignment horizontal="center"/>
    </xf>
    <xf numFmtId="43" fontId="22" fillId="2" borderId="10" xfId="1" applyFont="1" applyFill="1" applyBorder="1" applyAlignment="1">
      <alignment horizontal="right"/>
    </xf>
    <xf numFmtId="0" fontId="15" fillId="0" borderId="1" xfId="0" applyFont="1" applyBorder="1"/>
    <xf numFmtId="14" fontId="15" fillId="0" borderId="1" xfId="1" applyNumberFormat="1" applyFont="1" applyBorder="1" applyAlignment="1">
      <alignment horizontal="right"/>
    </xf>
    <xf numFmtId="43" fontId="15" fillId="0" borderId="1" xfId="1" applyFont="1" applyBorder="1" applyAlignment="1">
      <alignment horizontal="center"/>
    </xf>
    <xf numFmtId="43" fontId="15" fillId="0" borderId="1" xfId="1" applyFont="1" applyFill="1" applyBorder="1"/>
    <xf numFmtId="43" fontId="15" fillId="0" borderId="1" xfId="1" applyFont="1" applyBorder="1" applyAlignment="1">
      <alignment horizontal="right"/>
    </xf>
    <xf numFmtId="1" fontId="15" fillId="0" borderId="1" xfId="1" applyNumberFormat="1" applyFont="1" applyBorder="1" applyAlignment="1">
      <alignment horizontal="right"/>
    </xf>
    <xf numFmtId="14" fontId="15" fillId="0" borderId="1" xfId="0" applyNumberFormat="1" applyFont="1" applyBorder="1" applyAlignment="1">
      <alignment horizontal="right"/>
    </xf>
    <xf numFmtId="1" fontId="0" fillId="0" borderId="1" xfId="1" applyNumberFormat="1" applyFont="1" applyBorder="1" applyAlignment="1">
      <alignment horizontal="right"/>
    </xf>
    <xf numFmtId="0" fontId="22" fillId="2" borderId="0" xfId="0" applyFont="1" applyFill="1"/>
    <xf numFmtId="0" fontId="15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43" fontId="0" fillId="2" borderId="0" xfId="1" applyFont="1" applyFill="1" applyBorder="1"/>
    <xf numFmtId="43" fontId="0" fillId="2" borderId="0" xfId="1" applyFont="1" applyFill="1" applyAlignment="1">
      <alignment horizontal="right"/>
    </xf>
    <xf numFmtId="1" fontId="22" fillId="2" borderId="0" xfId="1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43" fontId="0" fillId="0" borderId="0" xfId="1" applyFont="1" applyAlignment="1">
      <alignment horizontal="right"/>
    </xf>
    <xf numFmtId="0" fontId="24" fillId="2" borderId="3" xfId="0" applyFont="1" applyFill="1" applyBorder="1" applyAlignment="1">
      <alignment horizontal="center"/>
    </xf>
    <xf numFmtId="0" fontId="24" fillId="2" borderId="4" xfId="0" applyFont="1" applyFill="1" applyBorder="1" applyAlignment="1">
      <alignment horizontal="center"/>
    </xf>
    <xf numFmtId="0" fontId="24" fillId="2" borderId="7" xfId="0" applyFont="1" applyFill="1" applyBorder="1" applyAlignment="1">
      <alignment horizontal="center"/>
    </xf>
    <xf numFmtId="0" fontId="24" fillId="2" borderId="8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43" fontId="22" fillId="0" borderId="1" xfId="1" applyFont="1" applyBorder="1" applyAlignment="1">
      <alignment horizontal="center"/>
    </xf>
    <xf numFmtId="14" fontId="22" fillId="0" borderId="11" xfId="1" applyNumberFormat="1" applyFont="1" applyBorder="1" applyAlignment="1">
      <alignment horizontal="center"/>
    </xf>
    <xf numFmtId="14" fontId="22" fillId="0" borderId="12" xfId="1" applyNumberFormat="1" applyFont="1" applyBorder="1" applyAlignment="1">
      <alignment horizontal="center"/>
    </xf>
    <xf numFmtId="43" fontId="25" fillId="0" borderId="1" xfId="1" applyFont="1" applyBorder="1"/>
    <xf numFmtId="43" fontId="25" fillId="0" borderId="1" xfId="1" applyFont="1" applyBorder="1" applyAlignment="1">
      <alignment horizontal="right"/>
    </xf>
    <xf numFmtId="43" fontId="25" fillId="0" borderId="1" xfId="1" applyFont="1" applyBorder="1" applyAlignment="1">
      <alignment horizontal="center"/>
    </xf>
    <xf numFmtId="43" fontId="26" fillId="0" borderId="11" xfId="1" applyFont="1" applyBorder="1" applyAlignment="1">
      <alignment horizontal="center"/>
    </xf>
    <xf numFmtId="43" fontId="26" fillId="0" borderId="1" xfId="1" applyFont="1" applyBorder="1" applyAlignment="1">
      <alignment horizontal="center"/>
    </xf>
    <xf numFmtId="43" fontId="25" fillId="0" borderId="1" xfId="1" applyFont="1" applyFill="1" applyBorder="1"/>
    <xf numFmtId="43" fontId="25" fillId="0" borderId="1" xfId="1" applyFont="1" applyFill="1" applyBorder="1" applyAlignment="1">
      <alignment horizontal="right"/>
    </xf>
    <xf numFmtId="43" fontId="25" fillId="0" borderId="1" xfId="1" applyFont="1" applyFill="1" applyBorder="1" applyAlignment="1">
      <alignment horizontal="center"/>
    </xf>
    <xf numFmtId="0" fontId="22" fillId="2" borderId="1" xfId="0" applyFont="1" applyFill="1" applyBorder="1"/>
    <xf numFmtId="164" fontId="26" fillId="2" borderId="1" xfId="0" applyNumberFormat="1" applyFont="1" applyFill="1" applyBorder="1"/>
    <xf numFmtId="164" fontId="26" fillId="2" borderId="1" xfId="0" applyNumberFormat="1" applyFont="1" applyFill="1" applyBorder="1" applyAlignment="1">
      <alignment horizontal="right"/>
    </xf>
    <xf numFmtId="43" fontId="26" fillId="2" borderId="1" xfId="1" applyFont="1" applyFill="1" applyBorder="1" applyAlignment="1">
      <alignment horizontal="center"/>
    </xf>
    <xf numFmtId="43" fontId="26" fillId="2" borderId="11" xfId="1" applyFont="1" applyFill="1" applyBorder="1" applyAlignment="1">
      <alignment horizontal="center"/>
    </xf>
    <xf numFmtId="43" fontId="0" fillId="2" borderId="1" xfId="1" applyFont="1" applyFill="1" applyBorder="1" applyAlignment="1">
      <alignment horizontal="right"/>
    </xf>
    <xf numFmtId="0" fontId="27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43" fontId="28" fillId="2" borderId="1" xfId="1" applyFont="1" applyFill="1" applyBorder="1" applyAlignment="1">
      <alignment horizontal="center"/>
    </xf>
    <xf numFmtId="43" fontId="28" fillId="2" borderId="11" xfId="1" applyFont="1" applyFill="1" applyBorder="1" applyAlignment="1">
      <alignment horizontal="center"/>
    </xf>
    <xf numFmtId="43" fontId="28" fillId="2" borderId="12" xfId="1" applyFont="1" applyFill="1" applyBorder="1" applyAlignment="1">
      <alignment horizontal="center"/>
    </xf>
    <xf numFmtId="14" fontId="28" fillId="2" borderId="1" xfId="1" applyNumberFormat="1" applyFont="1" applyFill="1" applyBorder="1" applyAlignment="1">
      <alignment horizontal="center"/>
    </xf>
    <xf numFmtId="43" fontId="15" fillId="10" borderId="1" xfId="1" applyFont="1" applyFill="1" applyBorder="1" applyProtection="1"/>
    <xf numFmtId="43" fontId="15" fillId="0" borderId="1" xfId="1" applyFont="1" applyFill="1" applyBorder="1" applyProtection="1"/>
    <xf numFmtId="43" fontId="15" fillId="0" borderId="1" xfId="1" applyFont="1" applyFill="1" applyBorder="1" applyAlignment="1" applyProtection="1">
      <alignment horizontal="center"/>
    </xf>
    <xf numFmtId="43" fontId="15" fillId="0" borderId="1" xfId="1" applyFont="1" applyFill="1" applyBorder="1" applyAlignment="1" applyProtection="1">
      <alignment horizontal="right"/>
    </xf>
    <xf numFmtId="43" fontId="22" fillId="0" borderId="11" xfId="1" applyFont="1" applyFill="1" applyBorder="1" applyAlignment="1" applyProtection="1">
      <alignment horizontal="center"/>
    </xf>
    <xf numFmtId="43" fontId="16" fillId="0" borderId="1" xfId="1" applyFont="1" applyFill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43" fontId="16" fillId="10" borderId="1" xfId="1" applyFont="1" applyFill="1" applyBorder="1" applyAlignment="1">
      <alignment horizontal="center"/>
    </xf>
    <xf numFmtId="43" fontId="16" fillId="10" borderId="1" xfId="1" applyFont="1" applyFill="1" applyBorder="1" applyProtection="1"/>
    <xf numFmtId="0" fontId="30" fillId="11" borderId="1" xfId="0" applyFont="1" applyFill="1" applyBorder="1"/>
    <xf numFmtId="164" fontId="30" fillId="0" borderId="1" xfId="0" applyNumberFormat="1" applyFont="1" applyBorder="1"/>
    <xf numFmtId="164" fontId="30" fillId="0" borderId="11" xfId="0" applyNumberFormat="1" applyFont="1" applyBorder="1" applyAlignment="1">
      <alignment horizontal="center"/>
    </xf>
    <xf numFmtId="164" fontId="30" fillId="0" borderId="12" xfId="0" applyNumberFormat="1" applyFont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0" fontId="24" fillId="2" borderId="9" xfId="0" applyFont="1" applyFill="1" applyBorder="1" applyAlignment="1">
      <alignment horizontal="center"/>
    </xf>
    <xf numFmtId="43" fontId="29" fillId="10" borderId="1" xfId="1" applyFont="1" applyFill="1" applyBorder="1" applyProtection="1"/>
    <xf numFmtId="0" fontId="29" fillId="0" borderId="11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0" fontId="0" fillId="12" borderId="13" xfId="0" applyFill="1" applyBorder="1" applyAlignment="1">
      <alignment horizontal="center" vertical="center"/>
    </xf>
    <xf numFmtId="0" fontId="32" fillId="12" borderId="13" xfId="0" quotePrefix="1" applyFont="1" applyFill="1" applyBorder="1" applyAlignment="1">
      <alignment horizontal="center" vertical="center"/>
    </xf>
    <xf numFmtId="0" fontId="33" fillId="12" borderId="13" xfId="0" quotePrefix="1" applyFont="1" applyFill="1" applyBorder="1" applyAlignment="1">
      <alignment horizontal="center" vertical="center"/>
    </xf>
    <xf numFmtId="0" fontId="34" fillId="12" borderId="13" xfId="0" applyFont="1" applyFill="1" applyBorder="1" applyAlignment="1">
      <alignment horizontal="center" vertical="center" wrapText="1"/>
    </xf>
    <xf numFmtId="0" fontId="35" fillId="12" borderId="13" xfId="0" applyFont="1" applyFill="1" applyBorder="1" applyAlignment="1">
      <alignment horizontal="center" vertical="center" wrapText="1"/>
    </xf>
    <xf numFmtId="0" fontId="0" fillId="13" borderId="0" xfId="0" applyFill="1" applyAlignment="1">
      <alignment vertical="center"/>
    </xf>
    <xf numFmtId="0" fontId="36" fillId="2" borderId="14" xfId="0" applyFont="1" applyFill="1" applyBorder="1" applyAlignment="1">
      <alignment horizontal="center" vertical="center"/>
    </xf>
    <xf numFmtId="0" fontId="36" fillId="2" borderId="13" xfId="0" applyFont="1" applyFill="1" applyBorder="1" applyAlignment="1">
      <alignment horizontal="right" vertical="center"/>
    </xf>
    <xf numFmtId="17" fontId="36" fillId="2" borderId="13" xfId="0" applyNumberFormat="1" applyFont="1" applyFill="1" applyBorder="1" applyAlignment="1">
      <alignment horizontal="center" vertical="center"/>
    </xf>
    <xf numFmtId="17" fontId="36" fillId="2" borderId="13" xfId="0" applyNumberFormat="1" applyFont="1" applyFill="1" applyBorder="1" applyAlignment="1">
      <alignment horizontal="center" vertical="center"/>
    </xf>
    <xf numFmtId="0" fontId="36" fillId="2" borderId="13" xfId="0" applyFont="1" applyFill="1" applyBorder="1" applyAlignment="1">
      <alignment horizontal="center" vertical="center"/>
    </xf>
    <xf numFmtId="0" fontId="36" fillId="2" borderId="13" xfId="0" applyFont="1" applyFill="1" applyBorder="1" applyAlignment="1">
      <alignment horizontal="center" vertical="center"/>
    </xf>
    <xf numFmtId="14" fontId="37" fillId="12" borderId="13" xfId="0" applyNumberFormat="1" applyFont="1" applyFill="1" applyBorder="1" applyAlignment="1">
      <alignment horizontal="center" vertical="center"/>
    </xf>
    <xf numFmtId="0" fontId="37" fillId="12" borderId="13" xfId="0" applyFont="1" applyFill="1" applyBorder="1" applyAlignment="1">
      <alignment horizontal="center" vertical="center"/>
    </xf>
    <xf numFmtId="165" fontId="37" fillId="12" borderId="13" xfId="0" applyNumberFormat="1" applyFont="1" applyFill="1" applyBorder="1" applyAlignment="1">
      <alignment horizontal="center" vertical="center"/>
    </xf>
    <xf numFmtId="165" fontId="37" fillId="12" borderId="15" xfId="0" applyNumberFormat="1" applyFont="1" applyFill="1" applyBorder="1" applyAlignment="1">
      <alignment horizontal="center" vertical="center"/>
    </xf>
    <xf numFmtId="0" fontId="38" fillId="14" borderId="16" xfId="0" applyFont="1" applyFill="1" applyBorder="1" applyAlignment="1">
      <alignment horizontal="right" vertical="center" indent="2"/>
    </xf>
    <xf numFmtId="0" fontId="38" fillId="14" borderId="17" xfId="0" applyFont="1" applyFill="1" applyBorder="1" applyAlignment="1">
      <alignment horizontal="right" vertical="center" indent="2"/>
    </xf>
    <xf numFmtId="0" fontId="38" fillId="14" borderId="18" xfId="0" applyFont="1" applyFill="1" applyBorder="1" applyAlignment="1">
      <alignment horizontal="right" vertical="center" indent="2"/>
    </xf>
    <xf numFmtId="165" fontId="39" fillId="5" borderId="19" xfId="0" applyNumberFormat="1" applyFont="1" applyFill="1" applyBorder="1" applyAlignment="1">
      <alignment horizontal="center" vertical="center"/>
    </xf>
    <xf numFmtId="0" fontId="38" fillId="14" borderId="20" xfId="0" applyFont="1" applyFill="1" applyBorder="1" applyAlignment="1">
      <alignment horizontal="right" vertical="center" indent="2"/>
    </xf>
    <xf numFmtId="165" fontId="39" fillId="5" borderId="21" xfId="0" applyNumberFormat="1" applyFont="1" applyFill="1" applyBorder="1" applyAlignment="1">
      <alignment horizontal="center" vertical="center"/>
    </xf>
    <xf numFmtId="165" fontId="40" fillId="12" borderId="22" xfId="0" applyNumberFormat="1" applyFont="1" applyFill="1" applyBorder="1" applyAlignment="1">
      <alignment horizontal="center" vertical="center"/>
    </xf>
    <xf numFmtId="165" fontId="39" fillId="15" borderId="23" xfId="0" applyNumberFormat="1" applyFont="1" applyFill="1" applyBorder="1" applyAlignment="1">
      <alignment horizontal="center" vertical="center"/>
    </xf>
    <xf numFmtId="165" fontId="39" fillId="5" borderId="24" xfId="0" applyNumberFormat="1" applyFont="1" applyFill="1" applyBorder="1" applyAlignment="1">
      <alignment horizontal="center" vertical="center"/>
    </xf>
    <xf numFmtId="165" fontId="39" fillId="15" borderId="25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"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62AB-7C35-4A35-BF35-48E777562B51}">
  <dimension ref="A1:H76"/>
  <sheetViews>
    <sheetView topLeftCell="A58" workbookViewId="0">
      <selection activeCell="A76" sqref="A76"/>
    </sheetView>
  </sheetViews>
  <sheetFormatPr defaultRowHeight="15"/>
  <cols>
    <col min="1" max="1" width="24.5703125" customWidth="1"/>
    <col min="2" max="2" width="28.7109375" customWidth="1"/>
    <col min="3" max="3" width="18.85546875" customWidth="1"/>
    <col min="4" max="4" width="23.42578125" customWidth="1"/>
    <col min="5" max="5" width="15.85546875" customWidth="1"/>
    <col min="6" max="6" width="16.85546875" customWidth="1"/>
    <col min="7" max="7" width="18.140625" customWidth="1"/>
    <col min="8" max="8" width="14.28515625" customWidth="1"/>
  </cols>
  <sheetData>
    <row r="1" spans="1:8" ht="16.5">
      <c r="A1" s="32" t="s">
        <v>17</v>
      </c>
      <c r="B1" s="32" t="s">
        <v>18</v>
      </c>
      <c r="C1" s="33" t="s">
        <v>1</v>
      </c>
      <c r="D1" s="33" t="s">
        <v>19</v>
      </c>
      <c r="E1" s="34" t="s">
        <v>3</v>
      </c>
      <c r="F1" s="33" t="s">
        <v>20</v>
      </c>
      <c r="G1" s="33" t="s">
        <v>21</v>
      </c>
      <c r="H1" s="35" t="s">
        <v>22</v>
      </c>
    </row>
    <row r="2" spans="1:8" ht="16.5">
      <c r="A2" s="36" t="s">
        <v>99</v>
      </c>
      <c r="B2" s="36" t="s">
        <v>23</v>
      </c>
      <c r="C2" s="37">
        <v>650000</v>
      </c>
      <c r="D2" s="37">
        <v>40000</v>
      </c>
      <c r="E2" s="38">
        <v>45887</v>
      </c>
      <c r="F2" s="37"/>
      <c r="G2" s="37"/>
      <c r="H2" s="39"/>
    </row>
    <row r="3" spans="1:8" ht="16.5">
      <c r="A3" s="36"/>
      <c r="B3" s="36"/>
      <c r="C3" s="37"/>
      <c r="D3" s="37">
        <v>25000</v>
      </c>
      <c r="E3" s="38">
        <v>45903</v>
      </c>
      <c r="F3" s="37"/>
      <c r="G3" s="37"/>
      <c r="H3" s="39"/>
    </row>
    <row r="4" spans="1:8" ht="16.5">
      <c r="A4" s="36"/>
      <c r="B4" s="36"/>
      <c r="C4" s="37"/>
      <c r="D4" s="37">
        <v>20000</v>
      </c>
      <c r="E4" s="38">
        <v>45940</v>
      </c>
      <c r="F4" s="37"/>
      <c r="G4" s="37"/>
      <c r="H4" s="39"/>
    </row>
    <row r="5" spans="1:8" ht="16.5">
      <c r="A5" s="36"/>
      <c r="B5" s="36"/>
      <c r="C5" s="37"/>
      <c r="D5" s="37">
        <v>10000</v>
      </c>
      <c r="E5" s="38">
        <v>45942</v>
      </c>
      <c r="F5" s="37"/>
      <c r="G5" s="37"/>
      <c r="H5" s="39"/>
    </row>
    <row r="6" spans="1:8" ht="16.5">
      <c r="A6" s="36"/>
      <c r="B6" s="36"/>
      <c r="C6" s="37"/>
      <c r="D6" s="37">
        <v>10000</v>
      </c>
      <c r="E6" s="38">
        <v>45948</v>
      </c>
      <c r="F6" s="37"/>
      <c r="G6" s="37" t="s">
        <v>8</v>
      </c>
      <c r="H6" s="39"/>
    </row>
    <row r="7" spans="1:8" ht="16.5">
      <c r="A7" s="36"/>
      <c r="B7" s="36"/>
      <c r="C7" s="37"/>
      <c r="D7" s="37">
        <v>140000</v>
      </c>
      <c r="E7" s="38">
        <v>45964</v>
      </c>
      <c r="F7" s="37"/>
      <c r="G7" s="37"/>
      <c r="H7" s="39"/>
    </row>
    <row r="8" spans="1:8" ht="16.5">
      <c r="A8" s="36"/>
      <c r="B8" s="36"/>
      <c r="C8" s="37"/>
      <c r="D8" s="37">
        <v>40000</v>
      </c>
      <c r="E8" s="38">
        <v>45999</v>
      </c>
      <c r="F8" s="37"/>
      <c r="G8" s="37"/>
      <c r="H8" s="39"/>
    </row>
    <row r="9" spans="1:8" ht="16.5">
      <c r="A9" s="36"/>
      <c r="B9" s="36"/>
      <c r="C9" s="37"/>
      <c r="D9" s="37">
        <v>50000</v>
      </c>
      <c r="E9" s="38">
        <v>46009</v>
      </c>
      <c r="F9" s="37"/>
      <c r="G9" s="37"/>
      <c r="H9" s="39"/>
    </row>
    <row r="10" spans="1:8" ht="16.5">
      <c r="A10" s="36"/>
      <c r="B10" s="36"/>
      <c r="C10" s="37"/>
      <c r="D10" s="37">
        <v>50000</v>
      </c>
      <c r="E10" s="38">
        <v>46014</v>
      </c>
      <c r="F10" s="37"/>
      <c r="G10" s="37"/>
      <c r="H10" s="39"/>
    </row>
    <row r="11" spans="1:8" ht="16.5">
      <c r="A11" s="36"/>
      <c r="B11" s="36"/>
      <c r="C11" s="37"/>
      <c r="D11" s="37">
        <v>50000</v>
      </c>
      <c r="E11" s="38">
        <v>46030</v>
      </c>
      <c r="F11" s="37"/>
      <c r="G11" s="37"/>
      <c r="H11" s="39"/>
    </row>
    <row r="12" spans="1:8" ht="16.5">
      <c r="A12" s="36"/>
      <c r="B12" s="36"/>
      <c r="C12" s="37"/>
      <c r="D12" s="37">
        <v>50000</v>
      </c>
      <c r="E12" s="38">
        <v>46075</v>
      </c>
      <c r="F12" s="37"/>
      <c r="G12" s="37"/>
      <c r="H12" s="39"/>
    </row>
    <row r="13" spans="1:8" ht="16.5">
      <c r="A13" s="36"/>
      <c r="B13" s="36"/>
      <c r="C13" s="37"/>
      <c r="D13" s="37">
        <v>165000</v>
      </c>
      <c r="E13" s="38">
        <v>46112</v>
      </c>
      <c r="F13" s="37"/>
      <c r="G13" s="37"/>
      <c r="H13" s="39"/>
    </row>
    <row r="14" spans="1:8" ht="16.5">
      <c r="A14" s="40" t="s">
        <v>24</v>
      </c>
      <c r="B14" s="41"/>
      <c r="C14" s="42"/>
      <c r="D14" s="42"/>
      <c r="E14" s="43"/>
      <c r="F14" s="42">
        <f>SUM(D2:D13)</f>
        <v>650000</v>
      </c>
      <c r="G14" s="42">
        <f>C2-F14</f>
        <v>0</v>
      </c>
      <c r="H14" s="39"/>
    </row>
    <row r="15" spans="1:8" ht="16.5">
      <c r="A15" s="44"/>
      <c r="B15" s="44"/>
      <c r="C15" s="39"/>
      <c r="D15" s="39"/>
      <c r="E15" s="45"/>
      <c r="F15" s="39"/>
      <c r="G15" s="39"/>
      <c r="H15" s="39"/>
    </row>
    <row r="16" spans="1:8" ht="16.5">
      <c r="A16" s="36" t="s">
        <v>98</v>
      </c>
      <c r="B16" s="36" t="s">
        <v>25</v>
      </c>
      <c r="C16" s="37">
        <v>390000</v>
      </c>
      <c r="D16" s="37">
        <v>90000</v>
      </c>
      <c r="E16" s="38">
        <v>45895</v>
      </c>
      <c r="F16" s="37"/>
      <c r="G16" s="37" t="s">
        <v>8</v>
      </c>
      <c r="H16" s="39"/>
    </row>
    <row r="17" spans="1:8" ht="16.5">
      <c r="A17" s="36"/>
      <c r="B17" s="36"/>
      <c r="C17" s="37"/>
      <c r="D17" s="37">
        <v>300000</v>
      </c>
      <c r="E17" s="38">
        <v>45904</v>
      </c>
      <c r="F17" s="37"/>
      <c r="G17" s="37"/>
      <c r="H17" s="39"/>
    </row>
    <row r="18" spans="1:8" ht="16.5">
      <c r="A18" s="41"/>
      <c r="B18" s="41"/>
      <c r="C18" s="42"/>
      <c r="D18" s="42"/>
      <c r="E18" s="43"/>
      <c r="F18" s="42">
        <f>SUM(D16:D17)</f>
        <v>390000</v>
      </c>
      <c r="G18" s="42">
        <f>C16-F18</f>
        <v>0</v>
      </c>
      <c r="H18" s="39"/>
    </row>
    <row r="19" spans="1:8" ht="16.5">
      <c r="A19" s="44"/>
      <c r="B19" s="44"/>
      <c r="C19" s="39"/>
      <c r="D19" s="39"/>
      <c r="E19" s="45"/>
      <c r="F19" s="39"/>
      <c r="G19" s="39"/>
      <c r="H19" s="39"/>
    </row>
    <row r="20" spans="1:8" ht="16.5">
      <c r="A20" s="36" t="s">
        <v>97</v>
      </c>
      <c r="B20" s="36" t="s">
        <v>26</v>
      </c>
      <c r="C20" s="37">
        <v>427500</v>
      </c>
      <c r="D20" s="37">
        <v>10000</v>
      </c>
      <c r="E20" s="38">
        <v>45682</v>
      </c>
      <c r="F20" s="37"/>
      <c r="G20" s="37"/>
      <c r="H20" s="39"/>
    </row>
    <row r="21" spans="1:8" ht="16.5">
      <c r="A21" s="36"/>
      <c r="B21" s="36"/>
      <c r="C21" s="37"/>
      <c r="D21" s="37">
        <v>7000</v>
      </c>
      <c r="E21" s="38">
        <v>46055</v>
      </c>
      <c r="F21" s="37"/>
      <c r="G21" s="37"/>
      <c r="H21" s="39"/>
    </row>
    <row r="22" spans="1:8" ht="16.5">
      <c r="A22" s="36"/>
      <c r="B22" s="36"/>
      <c r="C22" s="37"/>
      <c r="D22" s="37">
        <v>33000</v>
      </c>
      <c r="E22" s="38">
        <v>46066</v>
      </c>
      <c r="F22" s="37"/>
      <c r="G22" s="37"/>
      <c r="H22" s="39"/>
    </row>
    <row r="23" spans="1:8" ht="16.5">
      <c r="A23" s="36"/>
      <c r="B23" s="36"/>
      <c r="C23" s="37"/>
      <c r="D23" s="37">
        <v>2500</v>
      </c>
      <c r="E23" s="38">
        <v>46125</v>
      </c>
      <c r="F23" s="37"/>
      <c r="G23" s="37" t="s">
        <v>8</v>
      </c>
      <c r="H23" s="39"/>
    </row>
    <row r="24" spans="1:8" ht="16.5">
      <c r="A24" s="36"/>
      <c r="B24" s="36"/>
      <c r="C24" s="37"/>
      <c r="D24" s="37">
        <v>80000</v>
      </c>
      <c r="E24" s="38">
        <v>46125</v>
      </c>
      <c r="F24" s="37"/>
      <c r="G24" s="37"/>
      <c r="H24" s="39"/>
    </row>
    <row r="25" spans="1:8" ht="16.5">
      <c r="A25" s="36"/>
      <c r="B25" s="36"/>
      <c r="C25" s="37"/>
      <c r="D25" s="37">
        <v>5000</v>
      </c>
      <c r="E25" s="38">
        <v>46136</v>
      </c>
      <c r="F25" s="37"/>
      <c r="G25" s="37"/>
      <c r="H25" s="39"/>
    </row>
    <row r="26" spans="1:8" ht="16.5">
      <c r="A26" s="36"/>
      <c r="B26" s="36"/>
      <c r="C26" s="37"/>
      <c r="D26" s="37">
        <v>100000</v>
      </c>
      <c r="E26" s="38">
        <v>46151</v>
      </c>
      <c r="F26" s="37"/>
      <c r="G26" s="37"/>
      <c r="H26" s="39"/>
    </row>
    <row r="27" spans="1:8" ht="16.5">
      <c r="A27" s="36"/>
      <c r="B27" s="36"/>
      <c r="C27" s="37"/>
      <c r="D27" s="37">
        <v>99000</v>
      </c>
      <c r="E27" s="38">
        <v>46152</v>
      </c>
      <c r="F27" s="37"/>
      <c r="G27" s="37"/>
      <c r="H27" s="39"/>
    </row>
    <row r="28" spans="1:8" ht="16.5">
      <c r="A28" s="36"/>
      <c r="B28" s="36"/>
      <c r="C28" s="37"/>
      <c r="D28" s="37">
        <v>139000</v>
      </c>
      <c r="E28" s="38">
        <v>46153</v>
      </c>
      <c r="F28" s="37"/>
      <c r="G28" s="37"/>
      <c r="H28" s="39"/>
    </row>
    <row r="29" spans="1:8" ht="16.5">
      <c r="A29" s="41"/>
      <c r="B29" s="41"/>
      <c r="C29" s="42"/>
      <c r="D29" s="42"/>
      <c r="E29" s="43"/>
      <c r="F29" s="42">
        <f>SUM(D20:D28)</f>
        <v>475500</v>
      </c>
      <c r="G29" s="42">
        <f>C20-F29</f>
        <v>-48000</v>
      </c>
      <c r="H29" s="39"/>
    </row>
    <row r="30" spans="1:8" ht="16.5">
      <c r="A30" s="44"/>
      <c r="B30" s="44"/>
      <c r="C30" s="39"/>
      <c r="D30" s="39"/>
      <c r="E30" s="45"/>
      <c r="F30" s="39"/>
      <c r="G30" s="39"/>
      <c r="H30" s="39"/>
    </row>
    <row r="31" spans="1:8" ht="16.5">
      <c r="A31" s="44" t="s">
        <v>96</v>
      </c>
      <c r="B31" s="44" t="s">
        <v>27</v>
      </c>
      <c r="C31" s="39">
        <v>450000</v>
      </c>
      <c r="D31" s="39">
        <v>10000</v>
      </c>
      <c r="E31" s="45">
        <v>45899</v>
      </c>
      <c r="F31" s="39"/>
      <c r="G31" s="39"/>
      <c r="H31" s="39"/>
    </row>
    <row r="32" spans="1:8" ht="16.5">
      <c r="A32" s="44"/>
      <c r="B32" s="44"/>
      <c r="C32" s="39"/>
      <c r="D32" s="39">
        <v>50000</v>
      </c>
      <c r="E32" s="45">
        <v>45913</v>
      </c>
      <c r="F32" s="39"/>
      <c r="G32" s="39"/>
      <c r="H32" s="39"/>
    </row>
    <row r="33" spans="1:8" ht="16.5">
      <c r="A33" s="44"/>
      <c r="B33" s="44"/>
      <c r="C33" s="39"/>
      <c r="D33" s="39">
        <v>200000</v>
      </c>
      <c r="E33" s="45">
        <v>45964</v>
      </c>
      <c r="F33" s="39"/>
      <c r="G33" s="39"/>
      <c r="H33" s="39"/>
    </row>
    <row r="34" spans="1:8" ht="16.5">
      <c r="A34" s="44"/>
      <c r="B34" s="44"/>
      <c r="C34" s="39"/>
      <c r="D34" s="39">
        <v>7000</v>
      </c>
      <c r="E34" s="45">
        <v>46052</v>
      </c>
      <c r="F34" s="39"/>
      <c r="G34" s="39"/>
      <c r="H34" s="39"/>
    </row>
    <row r="35" spans="1:8" ht="16.5">
      <c r="A35" s="44"/>
      <c r="B35" s="44"/>
      <c r="C35" s="39"/>
      <c r="D35" s="39">
        <v>10000</v>
      </c>
      <c r="E35" s="45">
        <v>46080</v>
      </c>
      <c r="F35" s="39"/>
      <c r="G35" s="39"/>
      <c r="H35" s="39"/>
    </row>
    <row r="36" spans="1:8" ht="16.5">
      <c r="A36" s="44"/>
      <c r="B36" s="44"/>
      <c r="C36" s="39"/>
      <c r="D36" s="39">
        <v>10000</v>
      </c>
      <c r="E36" s="45">
        <v>46144</v>
      </c>
      <c r="F36" s="39"/>
      <c r="G36" s="39"/>
      <c r="H36" s="39"/>
    </row>
    <row r="37" spans="1:8" ht="16.5">
      <c r="A37" s="40" t="s">
        <v>28</v>
      </c>
      <c r="B37" s="41"/>
      <c r="C37" s="42"/>
      <c r="D37" s="42"/>
      <c r="E37" s="43"/>
      <c r="F37" s="42">
        <f>SUM(D31:D36)</f>
        <v>287000</v>
      </c>
      <c r="G37" s="42">
        <f>C31-F37</f>
        <v>163000</v>
      </c>
      <c r="H37" s="39"/>
    </row>
    <row r="38" spans="1:8" ht="16.5">
      <c r="A38" s="44"/>
      <c r="B38" s="44"/>
      <c r="C38" s="39"/>
      <c r="D38" s="39"/>
      <c r="E38" s="45"/>
      <c r="F38" s="39"/>
      <c r="G38" s="39"/>
      <c r="H38" s="39"/>
    </row>
    <row r="39" spans="1:8" ht="16.5">
      <c r="A39" s="44" t="s">
        <v>95</v>
      </c>
      <c r="B39" s="44" t="s">
        <v>29</v>
      </c>
      <c r="C39" s="39">
        <v>700000</v>
      </c>
      <c r="D39" s="39">
        <v>100000</v>
      </c>
      <c r="E39" s="45">
        <v>45973</v>
      </c>
      <c r="F39" s="39"/>
      <c r="G39" s="39"/>
      <c r="H39" s="39"/>
    </row>
    <row r="40" spans="1:8" ht="16.5">
      <c r="A40" s="44"/>
      <c r="B40" s="44"/>
      <c r="C40" s="39"/>
      <c r="D40" s="39">
        <v>50000</v>
      </c>
      <c r="E40" s="45">
        <v>46000</v>
      </c>
      <c r="F40" s="39"/>
      <c r="G40" s="39"/>
      <c r="H40" s="39"/>
    </row>
    <row r="41" spans="1:8" ht="16.5">
      <c r="A41" s="44"/>
      <c r="B41" s="44"/>
      <c r="C41" s="39"/>
      <c r="D41" s="39">
        <v>50000</v>
      </c>
      <c r="E41" s="45">
        <v>46036</v>
      </c>
      <c r="F41" s="39"/>
      <c r="G41" s="39"/>
      <c r="H41" s="39"/>
    </row>
    <row r="42" spans="1:8" ht="16.5">
      <c r="A42" s="44"/>
      <c r="B42" s="44"/>
      <c r="C42" s="39"/>
      <c r="D42" s="39">
        <v>50000</v>
      </c>
      <c r="E42" s="45">
        <v>46058</v>
      </c>
      <c r="F42" s="39"/>
      <c r="G42" s="39"/>
      <c r="H42" s="39"/>
    </row>
    <row r="43" spans="1:8" ht="16.5">
      <c r="A43" s="44"/>
      <c r="B43" s="44"/>
      <c r="C43" s="39"/>
      <c r="D43" s="39">
        <v>50000</v>
      </c>
      <c r="E43" s="45">
        <v>46086</v>
      </c>
      <c r="F43" s="39"/>
      <c r="G43" s="39"/>
      <c r="H43" s="39"/>
    </row>
    <row r="44" spans="1:8" ht="16.5">
      <c r="A44" s="44"/>
      <c r="B44" s="44"/>
      <c r="C44" s="39"/>
      <c r="D44" s="39">
        <v>50000</v>
      </c>
      <c r="E44" s="45">
        <v>46117</v>
      </c>
      <c r="F44" s="39"/>
      <c r="G44" s="39"/>
      <c r="H44" s="39"/>
    </row>
    <row r="45" spans="1:8" ht="16.5">
      <c r="A45" s="44"/>
      <c r="B45" s="44"/>
      <c r="C45" s="39"/>
      <c r="D45" s="39">
        <v>70000</v>
      </c>
      <c r="E45" s="45">
        <v>46147</v>
      </c>
      <c r="F45" s="39"/>
      <c r="G45" s="39"/>
      <c r="H45" s="39"/>
    </row>
    <row r="46" spans="1:8" ht="16.5">
      <c r="A46" s="44"/>
      <c r="B46" s="44"/>
      <c r="C46" s="39"/>
      <c r="D46" s="39">
        <v>30000</v>
      </c>
      <c r="E46" s="45">
        <v>46147</v>
      </c>
      <c r="F46" s="39"/>
      <c r="G46" s="39"/>
      <c r="H46" s="39"/>
    </row>
    <row r="47" spans="1:8" ht="16.5">
      <c r="A47" s="41"/>
      <c r="B47" s="41"/>
      <c r="C47" s="42"/>
      <c r="D47" s="42"/>
      <c r="E47" s="43"/>
      <c r="F47" s="42">
        <f>SUM(D39:D46)</f>
        <v>450000</v>
      </c>
      <c r="G47" s="42">
        <f>C39-F47</f>
        <v>250000</v>
      </c>
      <c r="H47" s="39"/>
    </row>
    <row r="48" spans="1:8" ht="16.5">
      <c r="A48" s="44"/>
      <c r="B48" s="44"/>
      <c r="C48" s="39"/>
      <c r="D48" s="39"/>
      <c r="E48" s="45"/>
      <c r="F48" s="39"/>
      <c r="G48" s="39"/>
      <c r="H48" s="39"/>
    </row>
    <row r="49" spans="1:8" ht="16.5">
      <c r="A49" s="44" t="s">
        <v>94</v>
      </c>
      <c r="B49" s="44" t="s">
        <v>30</v>
      </c>
      <c r="C49" s="39">
        <v>760000</v>
      </c>
      <c r="D49" s="39">
        <v>5000</v>
      </c>
      <c r="E49" s="45">
        <v>45986</v>
      </c>
      <c r="F49" s="39"/>
      <c r="G49" s="39"/>
      <c r="H49" s="39"/>
    </row>
    <row r="50" spans="1:8" ht="16.5">
      <c r="A50" s="44"/>
      <c r="B50" s="44"/>
      <c r="C50" s="39"/>
      <c r="D50" s="39">
        <v>100000</v>
      </c>
      <c r="E50" s="45">
        <v>45996</v>
      </c>
      <c r="F50" s="39"/>
      <c r="G50" s="39"/>
      <c r="H50" s="39"/>
    </row>
    <row r="51" spans="1:8" ht="16.5">
      <c r="A51" s="44"/>
      <c r="B51" s="44"/>
      <c r="C51" s="39"/>
      <c r="D51" s="39">
        <v>210000</v>
      </c>
      <c r="E51" s="45">
        <v>45662</v>
      </c>
      <c r="F51" s="39"/>
      <c r="G51" s="39"/>
      <c r="H51" s="39"/>
    </row>
    <row r="52" spans="1:8" ht="16.5">
      <c r="A52" s="44"/>
      <c r="B52" s="44"/>
      <c r="C52" s="39"/>
      <c r="D52" s="39">
        <v>185000</v>
      </c>
      <c r="E52" s="45">
        <v>46058</v>
      </c>
      <c r="F52" s="39"/>
      <c r="G52" s="39"/>
      <c r="H52" s="39"/>
    </row>
    <row r="53" spans="1:8" ht="16.5">
      <c r="A53" s="44"/>
      <c r="B53" s="44"/>
      <c r="C53" s="39"/>
      <c r="D53" s="39">
        <v>100000</v>
      </c>
      <c r="E53" s="45">
        <v>46106</v>
      </c>
      <c r="F53" s="39"/>
      <c r="G53" s="39"/>
      <c r="H53" s="39"/>
    </row>
    <row r="54" spans="1:8" ht="16.5">
      <c r="A54" s="44"/>
      <c r="B54" s="44"/>
      <c r="C54" s="39"/>
      <c r="D54" s="39">
        <v>100000</v>
      </c>
      <c r="E54" s="45">
        <v>46106</v>
      </c>
      <c r="F54" s="39"/>
      <c r="G54" s="39"/>
      <c r="H54" s="39"/>
    </row>
    <row r="55" spans="1:8" ht="16.5">
      <c r="A55" s="41"/>
      <c r="B55" s="41"/>
      <c r="C55" s="42"/>
      <c r="D55" s="42"/>
      <c r="E55" s="43"/>
      <c r="F55" s="42">
        <f>SUM(D49:D54)</f>
        <v>700000</v>
      </c>
      <c r="G55" s="42">
        <f>C49-F55</f>
        <v>60000</v>
      </c>
      <c r="H55" s="39"/>
    </row>
    <row r="56" spans="1:8" ht="16.5">
      <c r="A56" s="44"/>
      <c r="B56" s="44"/>
      <c r="C56" s="39"/>
      <c r="D56" s="39"/>
      <c r="E56" s="45"/>
      <c r="F56" s="39"/>
      <c r="G56" s="39"/>
      <c r="H56" s="39"/>
    </row>
    <row r="57" spans="1:8" ht="16.5">
      <c r="A57" s="44" t="s">
        <v>93</v>
      </c>
      <c r="B57" s="44" t="s">
        <v>31</v>
      </c>
      <c r="C57" s="39">
        <v>1550000</v>
      </c>
      <c r="D57" s="39">
        <v>50000</v>
      </c>
      <c r="E57" s="45">
        <v>46004</v>
      </c>
      <c r="F57" s="39"/>
      <c r="G57" s="39"/>
      <c r="H57" s="39"/>
    </row>
    <row r="58" spans="1:8" ht="16.5">
      <c r="A58" s="44"/>
      <c r="B58" s="44"/>
      <c r="C58" s="39"/>
      <c r="D58" s="39">
        <v>500000</v>
      </c>
      <c r="E58" s="45">
        <v>46011</v>
      </c>
      <c r="F58" s="39"/>
      <c r="G58" s="39"/>
      <c r="H58" s="39"/>
    </row>
    <row r="59" spans="1:8" ht="16.5">
      <c r="A59" s="44"/>
      <c r="B59" s="44"/>
      <c r="C59" s="39"/>
      <c r="D59" s="39">
        <v>250000</v>
      </c>
      <c r="E59" s="45">
        <v>46014</v>
      </c>
      <c r="F59" s="39"/>
      <c r="G59" s="39"/>
      <c r="H59" s="39"/>
    </row>
    <row r="60" spans="1:8" ht="16.5">
      <c r="A60" s="44"/>
      <c r="B60" s="44"/>
      <c r="C60" s="39"/>
      <c r="D60" s="39">
        <v>200000</v>
      </c>
      <c r="E60" s="45">
        <v>46035</v>
      </c>
      <c r="F60" s="39"/>
      <c r="G60" s="39"/>
      <c r="H60" s="39"/>
    </row>
    <row r="61" spans="1:8" ht="16.5">
      <c r="A61" s="44"/>
      <c r="B61" s="44"/>
      <c r="C61" s="39"/>
      <c r="D61" s="39">
        <v>134000</v>
      </c>
      <c r="E61" s="45">
        <v>46098</v>
      </c>
      <c r="F61" s="39"/>
      <c r="G61" s="39"/>
      <c r="H61" s="39"/>
    </row>
    <row r="62" spans="1:8" ht="16.5">
      <c r="A62" s="41"/>
      <c r="B62" s="41"/>
      <c r="C62" s="42"/>
      <c r="D62" s="42"/>
      <c r="E62" s="43"/>
      <c r="F62" s="42">
        <f>SUM(D57:D61)</f>
        <v>1134000</v>
      </c>
      <c r="G62" s="42">
        <f>C57-F62</f>
        <v>416000</v>
      </c>
      <c r="H62" s="39"/>
    </row>
    <row r="63" spans="1:8" ht="16.5">
      <c r="A63" s="44"/>
      <c r="B63" s="44"/>
      <c r="C63" s="39"/>
      <c r="D63" s="39"/>
      <c r="E63" s="45"/>
      <c r="F63" s="39"/>
      <c r="G63" s="39"/>
      <c r="H63" s="39"/>
    </row>
    <row r="64" spans="1:8" ht="16.5">
      <c r="A64" s="44" t="s">
        <v>100</v>
      </c>
      <c r="B64" s="46" t="s">
        <v>32</v>
      </c>
      <c r="C64" s="39">
        <v>450000</v>
      </c>
      <c r="D64" s="39">
        <v>50000</v>
      </c>
      <c r="E64" s="45">
        <v>46023</v>
      </c>
      <c r="F64" s="39"/>
      <c r="G64" s="39"/>
      <c r="H64" s="39"/>
    </row>
    <row r="65" spans="1:8" ht="16.5">
      <c r="A65" s="44"/>
      <c r="B65" s="44"/>
      <c r="C65" s="39"/>
      <c r="D65" s="39">
        <v>33334</v>
      </c>
      <c r="E65" s="45">
        <v>46053</v>
      </c>
      <c r="F65" s="39"/>
      <c r="G65" s="39"/>
      <c r="H65" s="39"/>
    </row>
    <row r="66" spans="1:8" ht="16.5">
      <c r="A66" s="44"/>
      <c r="B66" s="44"/>
      <c r="C66" s="39"/>
      <c r="D66" s="39">
        <v>33334</v>
      </c>
      <c r="E66" s="45">
        <v>46083</v>
      </c>
      <c r="F66" s="39"/>
      <c r="G66" s="39"/>
      <c r="H66" s="39"/>
    </row>
    <row r="67" spans="1:8" ht="16.5">
      <c r="A67" s="44"/>
      <c r="B67" s="44"/>
      <c r="C67" s="39"/>
      <c r="D67" s="39">
        <v>33334</v>
      </c>
      <c r="E67" s="45">
        <v>46111</v>
      </c>
      <c r="F67" s="39"/>
      <c r="G67" s="39"/>
      <c r="H67" s="39"/>
    </row>
    <row r="68" spans="1:8" ht="16.5">
      <c r="A68" s="44"/>
      <c r="B68" s="44"/>
      <c r="C68" s="39"/>
      <c r="D68" s="39">
        <v>33334</v>
      </c>
      <c r="E68" s="45">
        <v>46155</v>
      </c>
      <c r="F68" s="39"/>
      <c r="G68" s="39"/>
      <c r="H68" s="39"/>
    </row>
    <row r="69" spans="1:8" ht="16.5">
      <c r="A69" s="41"/>
      <c r="B69" s="41"/>
      <c r="C69" s="42"/>
      <c r="D69" s="42"/>
      <c r="E69" s="43"/>
      <c r="F69" s="42">
        <f>SUM(D64:D68)</f>
        <v>183336</v>
      </c>
      <c r="G69" s="42">
        <f>C64-F69</f>
        <v>266664</v>
      </c>
      <c r="H69" s="39"/>
    </row>
    <row r="70" spans="1:8" ht="16.5">
      <c r="A70" s="44"/>
      <c r="B70" s="44"/>
      <c r="C70" s="39"/>
      <c r="D70" s="39"/>
      <c r="E70" s="45"/>
      <c r="F70" s="39"/>
      <c r="G70" s="39"/>
      <c r="H70" s="39"/>
    </row>
    <row r="71" spans="1:8" ht="16.5">
      <c r="A71" s="44" t="s">
        <v>101</v>
      </c>
      <c r="B71" s="44" t="s">
        <v>33</v>
      </c>
      <c r="C71" s="39">
        <v>450000</v>
      </c>
      <c r="D71" s="39">
        <v>40000</v>
      </c>
      <c r="E71" s="45">
        <v>45660</v>
      </c>
      <c r="F71" s="39"/>
      <c r="G71" s="39"/>
      <c r="H71" s="39"/>
    </row>
    <row r="72" spans="1:8" ht="16.5">
      <c r="A72" s="44"/>
      <c r="B72" s="44"/>
      <c r="C72" s="39"/>
      <c r="D72" s="39">
        <v>40000</v>
      </c>
      <c r="E72" s="45">
        <v>46049</v>
      </c>
      <c r="F72" s="39"/>
      <c r="G72" s="39"/>
      <c r="H72" s="39"/>
    </row>
    <row r="73" spans="1:8" ht="16.5">
      <c r="A73" s="44"/>
      <c r="B73" s="44"/>
      <c r="C73" s="39"/>
      <c r="D73" s="39">
        <v>40000</v>
      </c>
      <c r="E73" s="45">
        <v>46077</v>
      </c>
      <c r="F73" s="39"/>
      <c r="G73" s="39"/>
      <c r="H73" s="39"/>
    </row>
    <row r="74" spans="1:8" ht="16.5">
      <c r="A74" s="44"/>
      <c r="B74" s="44"/>
      <c r="C74" s="39"/>
      <c r="D74" s="39">
        <v>40000</v>
      </c>
      <c r="E74" s="45">
        <v>46100</v>
      </c>
      <c r="F74" s="39"/>
      <c r="G74" s="39"/>
      <c r="H74" s="39"/>
    </row>
    <row r="75" spans="1:8" ht="16.5">
      <c r="A75" s="44"/>
      <c r="B75" s="44"/>
      <c r="C75" s="39"/>
      <c r="D75" s="39">
        <v>80000</v>
      </c>
      <c r="E75" s="45">
        <v>46139</v>
      </c>
      <c r="F75" s="39"/>
      <c r="G75" s="39"/>
      <c r="H75" s="39"/>
    </row>
    <row r="76" spans="1:8" ht="16.5">
      <c r="A76" s="40"/>
      <c r="B76" s="41"/>
      <c r="C76" s="42"/>
      <c r="D76" s="42"/>
      <c r="E76" s="43"/>
      <c r="F76" s="42">
        <f>SUM(D71:D75)</f>
        <v>240000</v>
      </c>
      <c r="G76" s="42">
        <f>C71-F76</f>
        <v>210000</v>
      </c>
      <c r="H76" s="3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F237-57FE-412A-9134-AEAA0C257056}">
  <dimension ref="A1:I81"/>
  <sheetViews>
    <sheetView topLeftCell="A55" workbookViewId="0">
      <selection activeCell="D85" sqref="D85"/>
    </sheetView>
  </sheetViews>
  <sheetFormatPr defaultRowHeight="15"/>
  <cols>
    <col min="1" max="1" width="20.42578125" customWidth="1"/>
    <col min="2" max="2" width="15.28515625" customWidth="1"/>
    <col min="3" max="3" width="16.7109375" customWidth="1"/>
    <col min="4" max="4" width="17" customWidth="1"/>
    <col min="5" max="5" width="18.140625" customWidth="1"/>
    <col min="6" max="6" width="11.5703125" customWidth="1"/>
    <col min="7" max="7" width="20.5703125" customWidth="1"/>
  </cols>
  <sheetData>
    <row r="1" spans="1:7">
      <c r="A1" s="47" t="s">
        <v>34</v>
      </c>
      <c r="B1" s="48"/>
      <c r="C1" s="48"/>
      <c r="D1" s="48"/>
      <c r="E1" s="48"/>
      <c r="F1" s="49"/>
      <c r="G1" s="50" t="s">
        <v>35</v>
      </c>
    </row>
    <row r="2" spans="1:7">
      <c r="A2" s="51"/>
      <c r="B2" s="52"/>
      <c r="C2" s="52"/>
      <c r="D2" s="52"/>
      <c r="E2" s="52"/>
      <c r="F2" s="53"/>
      <c r="G2" s="54"/>
    </row>
    <row r="3" spans="1:7" ht="15.75">
      <c r="A3" s="55" t="s">
        <v>36</v>
      </c>
      <c r="B3" s="55" t="s">
        <v>37</v>
      </c>
      <c r="C3" s="55" t="s">
        <v>3</v>
      </c>
      <c r="D3" s="55" t="s">
        <v>38</v>
      </c>
      <c r="E3" s="56" t="s">
        <v>39</v>
      </c>
      <c r="F3" s="57" t="s">
        <v>40</v>
      </c>
      <c r="G3" s="58"/>
    </row>
    <row r="4" spans="1:7" ht="16.5">
      <c r="A4" s="59" t="s">
        <v>98</v>
      </c>
      <c r="B4" s="59" t="s">
        <v>41</v>
      </c>
      <c r="C4" s="60"/>
      <c r="D4" s="61">
        <v>390000</v>
      </c>
      <c r="E4" s="62">
        <v>90000</v>
      </c>
      <c r="F4" s="63" t="s">
        <v>42</v>
      </c>
      <c r="G4" s="64">
        <v>1</v>
      </c>
    </row>
    <row r="5" spans="1:7" ht="16.5">
      <c r="A5" s="59" t="s">
        <v>102</v>
      </c>
      <c r="B5" s="59" t="s">
        <v>43</v>
      </c>
      <c r="C5" s="65"/>
      <c r="D5" s="61">
        <v>950000</v>
      </c>
      <c r="E5" s="62">
        <v>10000</v>
      </c>
      <c r="F5" s="63" t="s">
        <v>42</v>
      </c>
      <c r="G5" s="66">
        <v>1</v>
      </c>
    </row>
    <row r="6" spans="1:7" ht="16.5">
      <c r="A6" s="59" t="s">
        <v>99</v>
      </c>
      <c r="B6" s="59" t="s">
        <v>44</v>
      </c>
      <c r="C6" s="65"/>
      <c r="D6" s="61">
        <v>650000</v>
      </c>
      <c r="E6" s="62">
        <v>40000</v>
      </c>
      <c r="F6" s="63" t="s">
        <v>45</v>
      </c>
      <c r="G6" s="66">
        <v>1</v>
      </c>
    </row>
    <row r="7" spans="1:7" ht="16.5">
      <c r="A7" s="59"/>
      <c r="B7" s="59"/>
      <c r="C7" s="65"/>
      <c r="D7" s="61"/>
      <c r="E7" s="62"/>
      <c r="F7" s="63"/>
      <c r="G7" s="66"/>
    </row>
    <row r="8" spans="1:7" ht="16.5">
      <c r="A8" s="67" t="s">
        <v>46</v>
      </c>
      <c r="B8" s="68"/>
      <c r="C8" s="69"/>
      <c r="D8" s="70"/>
      <c r="E8" s="71"/>
      <c r="F8" s="72"/>
      <c r="G8" s="73">
        <f>SUM(G4:G7)</f>
        <v>3</v>
      </c>
    </row>
    <row r="9" spans="1:7">
      <c r="D9" s="74"/>
      <c r="E9" s="24"/>
      <c r="F9" s="75"/>
      <c r="G9" s="75"/>
    </row>
    <row r="10" spans="1:7">
      <c r="D10" s="74"/>
      <c r="E10" s="24"/>
      <c r="F10" s="75"/>
      <c r="G10" s="75"/>
    </row>
    <row r="11" spans="1:7">
      <c r="A11" s="76" t="s">
        <v>47</v>
      </c>
      <c r="B11" s="77"/>
      <c r="C11" s="77"/>
      <c r="D11" s="77"/>
      <c r="E11" s="77"/>
      <c r="F11" s="77"/>
      <c r="G11" s="75"/>
    </row>
    <row r="12" spans="1:7">
      <c r="A12" s="78"/>
      <c r="B12" s="79"/>
      <c r="C12" s="79"/>
      <c r="D12" s="79"/>
      <c r="E12" s="79"/>
      <c r="F12" s="79"/>
      <c r="G12" s="75"/>
    </row>
    <row r="13" spans="1:7" ht="16.5">
      <c r="A13" s="80" t="s">
        <v>48</v>
      </c>
      <c r="B13" s="80" t="s">
        <v>49</v>
      </c>
      <c r="C13" s="80" t="s">
        <v>50</v>
      </c>
      <c r="D13" s="81" t="s">
        <v>51</v>
      </c>
      <c r="E13" s="82" t="s">
        <v>52</v>
      </c>
      <c r="F13" s="83"/>
      <c r="G13" s="75"/>
    </row>
    <row r="14" spans="1:7" ht="16.5">
      <c r="A14" s="59" t="s">
        <v>103</v>
      </c>
      <c r="B14" s="84">
        <v>0</v>
      </c>
      <c r="C14" s="85">
        <v>0</v>
      </c>
      <c r="D14" s="86">
        <v>0</v>
      </c>
      <c r="E14" s="87">
        <f>SUM(B14:D14)</f>
        <v>0</v>
      </c>
      <c r="F14" s="88"/>
      <c r="G14" s="75"/>
    </row>
    <row r="15" spans="1:7" ht="16.5">
      <c r="A15" s="59" t="s">
        <v>104</v>
      </c>
      <c r="B15" s="84">
        <v>1400</v>
      </c>
      <c r="C15" s="85">
        <v>0</v>
      </c>
      <c r="D15" s="86">
        <v>200</v>
      </c>
      <c r="E15" s="87">
        <f>SUM(B15:D15)</f>
        <v>1600</v>
      </c>
      <c r="F15" s="88"/>
      <c r="G15" s="75"/>
    </row>
    <row r="16" spans="1:7" ht="16.5">
      <c r="A16" s="59" t="s">
        <v>105</v>
      </c>
      <c r="B16" s="89">
        <v>0</v>
      </c>
      <c r="C16" s="90">
        <v>0</v>
      </c>
      <c r="D16" s="91">
        <v>100</v>
      </c>
      <c r="E16" s="87">
        <f>SUM(B16:D16)</f>
        <v>100</v>
      </c>
      <c r="F16" s="88"/>
      <c r="G16" s="75"/>
    </row>
    <row r="17" spans="1:9" ht="16.5">
      <c r="A17" s="59" t="s">
        <v>106</v>
      </c>
      <c r="B17" s="89">
        <v>0</v>
      </c>
      <c r="C17" s="90">
        <v>0</v>
      </c>
      <c r="D17" s="91">
        <v>600</v>
      </c>
      <c r="E17" s="87">
        <f>SUM(B17:D17)</f>
        <v>600</v>
      </c>
      <c r="F17" s="88"/>
      <c r="G17" s="75"/>
    </row>
    <row r="18" spans="1:9" ht="16.5">
      <c r="A18" s="59" t="s">
        <v>107</v>
      </c>
      <c r="B18" s="89">
        <v>0</v>
      </c>
      <c r="C18" s="90">
        <v>0</v>
      </c>
      <c r="D18" s="91">
        <v>0</v>
      </c>
      <c r="E18" s="87">
        <f>SUM(B18:D18)</f>
        <v>0</v>
      </c>
      <c r="F18" s="88"/>
      <c r="G18" s="75"/>
    </row>
    <row r="19" spans="1:9" ht="16.5">
      <c r="A19" s="92" t="s">
        <v>46</v>
      </c>
      <c r="B19" s="93">
        <f>SUM(B14:B18)</f>
        <v>1400</v>
      </c>
      <c r="C19" s="94">
        <f>SUM(C14:C18)</f>
        <v>0</v>
      </c>
      <c r="D19" s="95">
        <f>SUM(D14:D18)</f>
        <v>900</v>
      </c>
      <c r="E19" s="96">
        <f>SUM(E14:E18)</f>
        <v>2300</v>
      </c>
      <c r="F19" s="97"/>
      <c r="G19" s="75"/>
    </row>
    <row r="20" spans="1:9">
      <c r="D20" s="74"/>
      <c r="E20" s="24"/>
      <c r="F20" s="75"/>
      <c r="G20" s="75"/>
    </row>
    <row r="21" spans="1:9">
      <c r="D21" s="74"/>
      <c r="E21" s="24"/>
      <c r="F21" s="75"/>
      <c r="G21" s="75"/>
    </row>
    <row r="22" spans="1:9">
      <c r="D22" s="74"/>
      <c r="E22" s="24"/>
      <c r="F22" s="75"/>
      <c r="G22" s="75"/>
    </row>
    <row r="23" spans="1:9">
      <c r="A23" s="98" t="s">
        <v>53</v>
      </c>
      <c r="B23" s="99"/>
      <c r="C23" s="99"/>
      <c r="D23" s="99"/>
      <c r="E23" s="99"/>
      <c r="F23" s="99"/>
      <c r="G23" s="99"/>
      <c r="H23" s="100"/>
      <c r="I23" s="101"/>
    </row>
    <row r="24" spans="1:9">
      <c r="A24" s="99"/>
      <c r="B24" s="99"/>
      <c r="C24" s="99"/>
      <c r="D24" s="99"/>
      <c r="E24" s="99"/>
      <c r="F24" s="99"/>
      <c r="G24" s="102"/>
      <c r="H24" s="103"/>
      <c r="I24" s="104"/>
    </row>
    <row r="25" spans="1:9" ht="16.5">
      <c r="A25" s="105" t="s">
        <v>48</v>
      </c>
      <c r="B25" s="105" t="s">
        <v>54</v>
      </c>
      <c r="C25" s="105" t="s">
        <v>55</v>
      </c>
      <c r="D25" s="105" t="s">
        <v>56</v>
      </c>
      <c r="E25" s="106" t="s">
        <v>57</v>
      </c>
      <c r="F25" s="107" t="s">
        <v>58</v>
      </c>
      <c r="G25" s="108" t="s">
        <v>59</v>
      </c>
      <c r="H25" s="109" t="s">
        <v>60</v>
      </c>
      <c r="I25" s="109"/>
    </row>
    <row r="26" spans="1:9" ht="16.5">
      <c r="A26" s="59" t="s">
        <v>103</v>
      </c>
      <c r="B26" s="110">
        <v>0</v>
      </c>
      <c r="C26" s="111">
        <v>0</v>
      </c>
      <c r="D26" s="112">
        <v>0</v>
      </c>
      <c r="E26" s="113">
        <v>0</v>
      </c>
      <c r="F26" s="114">
        <f>SUM(B26+C26+D26)</f>
        <v>0</v>
      </c>
      <c r="G26" s="115">
        <f t="shared" ref="G26:G33" si="0">F26-E26</f>
        <v>0</v>
      </c>
      <c r="H26" s="116"/>
      <c r="I26" s="117"/>
    </row>
    <row r="27" spans="1:9" ht="16.5">
      <c r="A27" s="59" t="s">
        <v>104</v>
      </c>
      <c r="B27" s="110">
        <v>15000</v>
      </c>
      <c r="C27" s="111">
        <v>0</v>
      </c>
      <c r="D27" s="112">
        <v>2100</v>
      </c>
      <c r="E27" s="113">
        <v>1600</v>
      </c>
      <c r="F27" s="114">
        <f t="shared" ref="F27:F33" si="1">SUM(B27+C27+D27)</f>
        <v>17100</v>
      </c>
      <c r="G27" s="115">
        <f t="shared" si="0"/>
        <v>15500</v>
      </c>
      <c r="H27" s="116"/>
      <c r="I27" s="117"/>
    </row>
    <row r="28" spans="1:9" ht="16.5">
      <c r="A28" s="59" t="s">
        <v>105</v>
      </c>
      <c r="B28" s="110">
        <v>10000</v>
      </c>
      <c r="C28" s="111">
        <v>0</v>
      </c>
      <c r="D28" s="112">
        <v>2100</v>
      </c>
      <c r="E28" s="113">
        <v>100</v>
      </c>
      <c r="F28" s="114">
        <f t="shared" si="1"/>
        <v>12100</v>
      </c>
      <c r="G28" s="118">
        <f t="shared" si="0"/>
        <v>12000</v>
      </c>
      <c r="H28" s="116"/>
      <c r="I28" s="117"/>
    </row>
    <row r="29" spans="1:9" ht="16.5">
      <c r="A29" s="59" t="s">
        <v>106</v>
      </c>
      <c r="B29" s="119">
        <v>10000</v>
      </c>
      <c r="C29" s="111">
        <v>0</v>
      </c>
      <c r="D29" s="112">
        <v>2100</v>
      </c>
      <c r="E29" s="113">
        <v>600</v>
      </c>
      <c r="F29" s="114">
        <f>SUM(B29+C29+D29)</f>
        <v>12100</v>
      </c>
      <c r="G29" s="118">
        <f t="shared" si="0"/>
        <v>11500</v>
      </c>
      <c r="H29" s="116"/>
      <c r="I29" s="117"/>
    </row>
    <row r="30" spans="1:9" ht="16.5">
      <c r="A30" s="59" t="s">
        <v>107</v>
      </c>
      <c r="B30" s="110">
        <v>4000</v>
      </c>
      <c r="C30" s="111">
        <v>0</v>
      </c>
      <c r="D30" s="112">
        <v>2100</v>
      </c>
      <c r="E30" s="113">
        <v>1000</v>
      </c>
      <c r="F30" s="114">
        <f t="shared" si="1"/>
        <v>6100</v>
      </c>
      <c r="G30" s="118">
        <f t="shared" si="0"/>
        <v>5100</v>
      </c>
      <c r="H30" s="116"/>
      <c r="I30" s="117"/>
    </row>
    <row r="31" spans="1:9" ht="16.5">
      <c r="A31" s="59" t="s">
        <v>108</v>
      </c>
      <c r="B31" s="110">
        <v>10000</v>
      </c>
      <c r="C31" s="111">
        <v>0</v>
      </c>
      <c r="D31" s="112">
        <v>0</v>
      </c>
      <c r="E31" s="113">
        <v>0</v>
      </c>
      <c r="F31" s="114">
        <f t="shared" si="1"/>
        <v>10000</v>
      </c>
      <c r="G31" s="118">
        <f t="shared" si="0"/>
        <v>10000</v>
      </c>
      <c r="H31" s="116"/>
      <c r="I31" s="117"/>
    </row>
    <row r="32" spans="1:9" ht="16.5">
      <c r="A32" s="59" t="s">
        <v>61</v>
      </c>
      <c r="B32" s="110">
        <v>0</v>
      </c>
      <c r="C32" s="111">
        <v>20000</v>
      </c>
      <c r="D32" s="112">
        <v>0</v>
      </c>
      <c r="E32" s="113">
        <v>0</v>
      </c>
      <c r="F32" s="114">
        <f t="shared" si="1"/>
        <v>20000</v>
      </c>
      <c r="G32" s="118">
        <f t="shared" si="0"/>
        <v>20000</v>
      </c>
      <c r="H32" s="116"/>
      <c r="I32" s="117"/>
    </row>
    <row r="33" spans="1:9" ht="16.5">
      <c r="A33" s="59" t="s">
        <v>62</v>
      </c>
      <c r="B33" s="110">
        <v>0</v>
      </c>
      <c r="C33" s="111">
        <v>25000</v>
      </c>
      <c r="D33" s="112">
        <v>0</v>
      </c>
      <c r="E33" s="113">
        <v>0</v>
      </c>
      <c r="F33" s="114">
        <f t="shared" si="1"/>
        <v>25000</v>
      </c>
      <c r="G33" s="118">
        <f t="shared" si="0"/>
        <v>25000</v>
      </c>
      <c r="H33" s="116"/>
      <c r="I33" s="117"/>
    </row>
    <row r="34" spans="1:9" ht="16.5">
      <c r="A34" s="120" t="s">
        <v>46</v>
      </c>
      <c r="B34" s="121">
        <f t="shared" ref="B34:G34" si="2">SUM(B26:B33)</f>
        <v>49000</v>
      </c>
      <c r="C34" s="121">
        <f t="shared" si="2"/>
        <v>45000</v>
      </c>
      <c r="D34" s="121">
        <f t="shared" si="2"/>
        <v>8400</v>
      </c>
      <c r="E34" s="121">
        <f t="shared" si="2"/>
        <v>3300</v>
      </c>
      <c r="F34" s="121">
        <f t="shared" si="2"/>
        <v>102400</v>
      </c>
      <c r="G34" s="121">
        <f t="shared" si="2"/>
        <v>99100</v>
      </c>
      <c r="H34" s="122"/>
      <c r="I34" s="123"/>
    </row>
    <row r="38" spans="1:9">
      <c r="A38" s="76" t="s">
        <v>63</v>
      </c>
      <c r="B38" s="77"/>
      <c r="C38" s="77"/>
      <c r="D38" s="77"/>
      <c r="E38" s="77"/>
      <c r="F38" s="124"/>
      <c r="G38" s="75"/>
    </row>
    <row r="39" spans="1:9">
      <c r="A39" s="78"/>
      <c r="B39" s="79"/>
      <c r="C39" s="79"/>
      <c r="D39" s="79"/>
      <c r="E39" s="79"/>
      <c r="F39" s="125"/>
      <c r="G39" s="75"/>
    </row>
    <row r="40" spans="1:9" ht="16.5">
      <c r="A40" s="80" t="s">
        <v>48</v>
      </c>
      <c r="B40" s="80" t="s">
        <v>49</v>
      </c>
      <c r="C40" s="80" t="s">
        <v>50</v>
      </c>
      <c r="D40" s="81" t="s">
        <v>51</v>
      </c>
      <c r="E40" s="82" t="s">
        <v>52</v>
      </c>
      <c r="F40" s="83"/>
      <c r="G40" s="75"/>
    </row>
    <row r="41" spans="1:9" ht="16.5">
      <c r="A41" s="59" t="s">
        <v>103</v>
      </c>
      <c r="B41" s="84">
        <v>0</v>
      </c>
      <c r="C41" s="85">
        <v>0</v>
      </c>
      <c r="D41" s="86">
        <v>0</v>
      </c>
      <c r="E41" s="87">
        <f>SUM(B41:D41)</f>
        <v>0</v>
      </c>
      <c r="F41" s="88"/>
      <c r="G41" s="75"/>
    </row>
    <row r="42" spans="1:9" ht="16.5">
      <c r="A42" s="59" t="s">
        <v>104</v>
      </c>
      <c r="B42" s="84">
        <v>0</v>
      </c>
      <c r="C42" s="85">
        <v>0</v>
      </c>
      <c r="D42" s="86">
        <v>0</v>
      </c>
      <c r="E42" s="87">
        <f>SUM(B42:D42)</f>
        <v>0</v>
      </c>
      <c r="F42" s="88"/>
      <c r="G42" s="75"/>
    </row>
    <row r="43" spans="1:9" ht="16.5">
      <c r="A43" s="59" t="s">
        <v>105</v>
      </c>
      <c r="B43" s="89">
        <v>0</v>
      </c>
      <c r="C43" s="90">
        <v>0</v>
      </c>
      <c r="D43" s="91">
        <v>0</v>
      </c>
      <c r="E43" s="87">
        <f>SUM(B43:D43)</f>
        <v>0</v>
      </c>
      <c r="F43" s="88"/>
      <c r="G43" s="75"/>
    </row>
    <row r="44" spans="1:9" ht="16.5">
      <c r="A44" s="59" t="s">
        <v>106</v>
      </c>
      <c r="B44" s="89">
        <v>1000</v>
      </c>
      <c r="C44" s="90">
        <v>0</v>
      </c>
      <c r="D44" s="91">
        <v>0</v>
      </c>
      <c r="E44" s="87">
        <f>SUM(B44:D44)</f>
        <v>1000</v>
      </c>
      <c r="F44" s="88"/>
      <c r="G44" s="75"/>
    </row>
    <row r="45" spans="1:9" ht="16.5">
      <c r="A45" s="59" t="s">
        <v>107</v>
      </c>
      <c r="B45" s="89">
        <v>0</v>
      </c>
      <c r="C45" s="90">
        <v>0</v>
      </c>
      <c r="D45" s="91">
        <v>0</v>
      </c>
      <c r="E45" s="87">
        <f>SUM(B45:D45)</f>
        <v>0</v>
      </c>
      <c r="F45" s="88"/>
      <c r="G45" s="75"/>
    </row>
    <row r="46" spans="1:9" ht="16.5">
      <c r="A46" s="92" t="s">
        <v>46</v>
      </c>
      <c r="B46" s="93">
        <f>SUM(B41:B45)</f>
        <v>1000</v>
      </c>
      <c r="C46" s="94">
        <f>SUM(C41:C45)</f>
        <v>0</v>
      </c>
      <c r="D46" s="95">
        <f>SUM(D41:D45)</f>
        <v>0</v>
      </c>
      <c r="E46" s="96">
        <f>SUM(E41:E45)</f>
        <v>1000</v>
      </c>
      <c r="F46" s="97"/>
      <c r="G46" s="75"/>
    </row>
    <row r="47" spans="1:9">
      <c r="D47" s="74"/>
      <c r="E47" s="24"/>
      <c r="F47" s="75"/>
      <c r="G47" s="75"/>
    </row>
    <row r="48" spans="1:9">
      <c r="D48" s="74"/>
      <c r="E48" s="24"/>
      <c r="F48" s="75"/>
      <c r="G48" s="75"/>
    </row>
    <row r="49" spans="1:9">
      <c r="D49" s="74"/>
      <c r="E49" s="24"/>
      <c r="F49" s="75"/>
      <c r="G49" s="75"/>
    </row>
    <row r="50" spans="1:9">
      <c r="A50" s="98" t="s">
        <v>64</v>
      </c>
      <c r="B50" s="99"/>
      <c r="C50" s="99"/>
      <c r="D50" s="99"/>
      <c r="E50" s="99"/>
      <c r="F50" s="99"/>
      <c r="G50" s="99"/>
      <c r="H50" s="100"/>
      <c r="I50" s="101"/>
    </row>
    <row r="51" spans="1:9">
      <c r="A51" s="99"/>
      <c r="B51" s="99"/>
      <c r="C51" s="99"/>
      <c r="D51" s="99"/>
      <c r="E51" s="99"/>
      <c r="F51" s="99"/>
      <c r="G51" s="102"/>
      <c r="H51" s="103"/>
      <c r="I51" s="104"/>
    </row>
    <row r="52" spans="1:9" ht="16.5">
      <c r="A52" s="105" t="s">
        <v>48</v>
      </c>
      <c r="B52" s="105" t="s">
        <v>54</v>
      </c>
      <c r="C52" s="105" t="s">
        <v>55</v>
      </c>
      <c r="D52" s="105" t="s">
        <v>56</v>
      </c>
      <c r="E52" s="106" t="s">
        <v>57</v>
      </c>
      <c r="F52" s="107" t="s">
        <v>58</v>
      </c>
      <c r="G52" s="108" t="s">
        <v>59</v>
      </c>
      <c r="H52" s="109" t="s">
        <v>60</v>
      </c>
      <c r="I52" s="109"/>
    </row>
    <row r="53" spans="1:9" ht="16.5">
      <c r="A53" s="59" t="s">
        <v>103</v>
      </c>
      <c r="B53" s="110">
        <v>0</v>
      </c>
      <c r="C53" s="111">
        <v>0</v>
      </c>
      <c r="D53" s="112">
        <v>0</v>
      </c>
      <c r="E53" s="113">
        <v>0</v>
      </c>
      <c r="F53" s="114">
        <f>SUM(B53+C53+D53)</f>
        <v>0</v>
      </c>
      <c r="G53" s="115">
        <f>F53-E53</f>
        <v>0</v>
      </c>
      <c r="H53" s="116"/>
      <c r="I53" s="117"/>
    </row>
    <row r="54" spans="1:9" ht="16.5">
      <c r="A54" s="59" t="s">
        <v>104</v>
      </c>
      <c r="B54" s="110">
        <v>15000</v>
      </c>
      <c r="C54" s="111">
        <v>0</v>
      </c>
      <c r="D54" s="112">
        <v>2600</v>
      </c>
      <c r="E54" s="113">
        <v>1500</v>
      </c>
      <c r="F54" s="114">
        <f>SUM(B54+C54+D54)</f>
        <v>17600</v>
      </c>
      <c r="G54" s="115">
        <f>F54-E54</f>
        <v>16100</v>
      </c>
      <c r="H54" s="116"/>
      <c r="I54" s="117"/>
    </row>
    <row r="55" spans="1:9" ht="16.5">
      <c r="A55" s="59" t="s">
        <v>105</v>
      </c>
      <c r="B55" s="110">
        <v>10000</v>
      </c>
      <c r="C55" s="111">
        <v>0</v>
      </c>
      <c r="D55" s="112">
        <v>2600</v>
      </c>
      <c r="E55" s="113">
        <v>200</v>
      </c>
      <c r="F55" s="114">
        <f>SUM(B55+C55+D55)</f>
        <v>12600</v>
      </c>
      <c r="G55" s="118">
        <f>F55-E55</f>
        <v>12400</v>
      </c>
      <c r="H55" s="116"/>
      <c r="I55" s="117"/>
    </row>
    <row r="56" spans="1:9" ht="16.5">
      <c r="A56" s="59" t="s">
        <v>106</v>
      </c>
      <c r="B56" s="126">
        <v>8213</v>
      </c>
      <c r="C56" s="111">
        <v>0</v>
      </c>
      <c r="D56" s="112">
        <v>1900</v>
      </c>
      <c r="E56" s="113">
        <v>1000</v>
      </c>
      <c r="F56" s="114">
        <f>SUM(B56+C56+D56)</f>
        <v>10113</v>
      </c>
      <c r="G56" s="118">
        <f>F56-E56</f>
        <v>9113</v>
      </c>
      <c r="H56" s="116"/>
      <c r="I56" s="117"/>
    </row>
    <row r="57" spans="1:9" ht="16.5">
      <c r="A57" s="59" t="s">
        <v>107</v>
      </c>
      <c r="B57" s="110">
        <v>10000</v>
      </c>
      <c r="C57" s="111">
        <v>0</v>
      </c>
      <c r="D57" s="112">
        <v>2800</v>
      </c>
      <c r="E57" s="113">
        <v>1000</v>
      </c>
      <c r="F57" s="114">
        <f>SUM(B57+C57+D57)</f>
        <v>12800</v>
      </c>
      <c r="G57" s="118">
        <f>F57-E57</f>
        <v>11800</v>
      </c>
      <c r="H57" s="116"/>
      <c r="I57" s="117"/>
    </row>
    <row r="58" spans="1:9" ht="16.5">
      <c r="A58" s="120" t="s">
        <v>46</v>
      </c>
      <c r="B58" s="121">
        <f t="shared" ref="B58:G58" si="3">SUM(B53:B57)</f>
        <v>43213</v>
      </c>
      <c r="C58" s="121">
        <f t="shared" si="3"/>
        <v>0</v>
      </c>
      <c r="D58" s="121">
        <f t="shared" si="3"/>
        <v>9900</v>
      </c>
      <c r="E58" s="121">
        <f t="shared" si="3"/>
        <v>3700</v>
      </c>
      <c r="F58" s="121">
        <f t="shared" si="3"/>
        <v>53113</v>
      </c>
      <c r="G58" s="121">
        <f t="shared" si="3"/>
        <v>49413</v>
      </c>
      <c r="H58" s="122"/>
      <c r="I58" s="123"/>
    </row>
    <row r="61" spans="1:9">
      <c r="A61" s="76" t="s">
        <v>63</v>
      </c>
      <c r="B61" s="77"/>
      <c r="C61" s="77"/>
      <c r="D61" s="77"/>
      <c r="E61" s="77"/>
      <c r="F61" s="124"/>
    </row>
    <row r="62" spans="1:9">
      <c r="A62" s="78"/>
      <c r="B62" s="79"/>
      <c r="C62" s="79"/>
      <c r="D62" s="79"/>
      <c r="E62" s="79"/>
      <c r="F62" s="125"/>
    </row>
    <row r="63" spans="1:9" ht="16.5">
      <c r="A63" s="80" t="s">
        <v>48</v>
      </c>
      <c r="B63" s="80" t="s">
        <v>49</v>
      </c>
      <c r="C63" s="80" t="s">
        <v>50</v>
      </c>
      <c r="D63" s="81" t="s">
        <v>51</v>
      </c>
      <c r="E63" s="82" t="s">
        <v>52</v>
      </c>
      <c r="F63" s="83"/>
    </row>
    <row r="64" spans="1:9" ht="16.5">
      <c r="A64" s="59" t="s">
        <v>103</v>
      </c>
      <c r="B64" s="84">
        <v>0</v>
      </c>
      <c r="C64" s="85">
        <v>0</v>
      </c>
      <c r="D64" s="86">
        <v>0</v>
      </c>
      <c r="E64" s="87">
        <f>SUM(B64:D64)</f>
        <v>0</v>
      </c>
      <c r="F64" s="88"/>
    </row>
    <row r="65" spans="1:9" ht="16.5">
      <c r="A65" s="59" t="s">
        <v>104</v>
      </c>
      <c r="B65" s="84">
        <v>0</v>
      </c>
      <c r="C65" s="85">
        <v>0</v>
      </c>
      <c r="D65" s="86">
        <v>0</v>
      </c>
      <c r="E65" s="87">
        <f>SUM(B65:D65)</f>
        <v>0</v>
      </c>
      <c r="F65" s="88"/>
    </row>
    <row r="66" spans="1:9" ht="16.5">
      <c r="A66" s="59" t="s">
        <v>105</v>
      </c>
      <c r="B66" s="89">
        <v>0</v>
      </c>
      <c r="C66" s="90">
        <v>0</v>
      </c>
      <c r="D66" s="91">
        <v>0</v>
      </c>
      <c r="E66" s="87">
        <f>SUM(B66:D66)</f>
        <v>0</v>
      </c>
      <c r="F66" s="88"/>
    </row>
    <row r="67" spans="1:9" ht="16.5">
      <c r="A67" s="59" t="s">
        <v>106</v>
      </c>
      <c r="B67" s="89">
        <v>1000</v>
      </c>
      <c r="C67" s="90">
        <v>0</v>
      </c>
      <c r="D67" s="91">
        <v>0</v>
      </c>
      <c r="E67" s="87">
        <f>SUM(B67:D67)</f>
        <v>1000</v>
      </c>
      <c r="F67" s="88"/>
    </row>
    <row r="68" spans="1:9" ht="16.5">
      <c r="A68" s="59" t="s">
        <v>107</v>
      </c>
      <c r="B68" s="89">
        <v>0</v>
      </c>
      <c r="C68" s="90">
        <v>0</v>
      </c>
      <c r="D68" s="91">
        <v>0</v>
      </c>
      <c r="E68" s="87">
        <f>SUM(B68:D68)</f>
        <v>0</v>
      </c>
      <c r="F68" s="88"/>
    </row>
    <row r="69" spans="1:9" ht="16.5">
      <c r="A69" s="92" t="s">
        <v>46</v>
      </c>
      <c r="B69" s="93">
        <f>SUM(B64:B68)</f>
        <v>1000</v>
      </c>
      <c r="C69" s="94">
        <f>SUM(C64:C68)</f>
        <v>0</v>
      </c>
      <c r="D69" s="95">
        <f>SUM(D64:D68)</f>
        <v>0</v>
      </c>
      <c r="E69" s="96">
        <f>SUM(E64:E68)</f>
        <v>1000</v>
      </c>
      <c r="F69" s="97"/>
    </row>
    <row r="72" spans="1:9">
      <c r="A72" s="98" t="s">
        <v>65</v>
      </c>
      <c r="B72" s="99"/>
      <c r="C72" s="99"/>
      <c r="D72" s="99"/>
      <c r="E72" s="99"/>
      <c r="F72" s="99"/>
      <c r="G72" s="99"/>
      <c r="H72" s="100"/>
      <c r="I72" s="101"/>
    </row>
    <row r="73" spans="1:9">
      <c r="A73" s="99"/>
      <c r="B73" s="99"/>
      <c r="C73" s="99"/>
      <c r="D73" s="99"/>
      <c r="E73" s="99"/>
      <c r="F73" s="99"/>
      <c r="G73" s="102"/>
      <c r="H73" s="103"/>
      <c r="I73" s="104"/>
    </row>
    <row r="74" spans="1:9" ht="16.5">
      <c r="A74" s="105" t="s">
        <v>48</v>
      </c>
      <c r="B74" s="105" t="s">
        <v>54</v>
      </c>
      <c r="C74" s="105" t="s">
        <v>55</v>
      </c>
      <c r="D74" s="105" t="s">
        <v>56</v>
      </c>
      <c r="E74" s="106" t="s">
        <v>57</v>
      </c>
      <c r="F74" s="107" t="s">
        <v>58</v>
      </c>
      <c r="G74" s="108" t="s">
        <v>59</v>
      </c>
      <c r="H74" s="109" t="s">
        <v>60</v>
      </c>
      <c r="I74" s="109"/>
    </row>
    <row r="75" spans="1:9" ht="16.5">
      <c r="A75" s="59" t="s">
        <v>103</v>
      </c>
      <c r="B75" s="110">
        <v>0</v>
      </c>
      <c r="C75" s="111">
        <v>0</v>
      </c>
      <c r="D75" s="112">
        <v>0</v>
      </c>
      <c r="E75" s="113">
        <v>0</v>
      </c>
      <c r="F75" s="114">
        <f t="shared" ref="F75:F80" si="4">SUM(B75+C75+D75)</f>
        <v>0</v>
      </c>
      <c r="G75" s="115">
        <f t="shared" ref="G75:G80" si="5">F75-E75</f>
        <v>0</v>
      </c>
      <c r="H75" s="116"/>
      <c r="I75" s="117"/>
    </row>
    <row r="76" spans="1:9" ht="16.5">
      <c r="A76" s="59" t="s">
        <v>104</v>
      </c>
      <c r="B76" s="110">
        <v>15000</v>
      </c>
      <c r="C76" s="111">
        <v>0</v>
      </c>
      <c r="D76" s="112">
        <v>1800</v>
      </c>
      <c r="E76" s="113">
        <v>3750</v>
      </c>
      <c r="F76" s="114">
        <f t="shared" si="4"/>
        <v>16800</v>
      </c>
      <c r="G76" s="115">
        <f t="shared" si="5"/>
        <v>13050</v>
      </c>
      <c r="H76" s="116"/>
      <c r="I76" s="117"/>
    </row>
    <row r="77" spans="1:9" ht="16.5">
      <c r="A77" s="59" t="s">
        <v>105</v>
      </c>
      <c r="B77" s="110">
        <v>10000</v>
      </c>
      <c r="C77" s="111">
        <v>0</v>
      </c>
      <c r="D77" s="112">
        <v>2400</v>
      </c>
      <c r="E77" s="113">
        <v>0</v>
      </c>
      <c r="F77" s="114">
        <f t="shared" si="4"/>
        <v>12400</v>
      </c>
      <c r="G77" s="118">
        <f t="shared" si="5"/>
        <v>12400</v>
      </c>
      <c r="H77" s="116"/>
      <c r="I77" s="117"/>
    </row>
    <row r="78" spans="1:9" ht="16.5">
      <c r="A78" s="59" t="s">
        <v>106</v>
      </c>
      <c r="B78" s="126">
        <v>0</v>
      </c>
      <c r="C78" s="111">
        <v>0</v>
      </c>
      <c r="D78" s="112">
        <v>0</v>
      </c>
      <c r="E78" s="113">
        <v>0</v>
      </c>
      <c r="F78" s="114">
        <f t="shared" si="4"/>
        <v>0</v>
      </c>
      <c r="G78" s="118">
        <f t="shared" si="5"/>
        <v>0</v>
      </c>
      <c r="H78" s="116"/>
      <c r="I78" s="117"/>
    </row>
    <row r="79" spans="1:9" ht="16.5">
      <c r="A79" s="59" t="s">
        <v>107</v>
      </c>
      <c r="B79" s="110">
        <v>10000</v>
      </c>
      <c r="C79" s="111">
        <v>0</v>
      </c>
      <c r="D79" s="112">
        <v>1700</v>
      </c>
      <c r="E79" s="113">
        <v>2917</v>
      </c>
      <c r="F79" s="114">
        <f t="shared" si="4"/>
        <v>11700</v>
      </c>
      <c r="G79" s="118">
        <f t="shared" si="5"/>
        <v>8783</v>
      </c>
      <c r="H79" s="116"/>
      <c r="I79" s="117"/>
    </row>
    <row r="80" spans="1:9" ht="16.5">
      <c r="A80" s="59" t="s">
        <v>108</v>
      </c>
      <c r="B80" s="110">
        <v>10000</v>
      </c>
      <c r="C80" s="111">
        <v>0</v>
      </c>
      <c r="D80" s="112">
        <v>0</v>
      </c>
      <c r="E80" s="113">
        <v>0</v>
      </c>
      <c r="F80" s="114">
        <f t="shared" si="4"/>
        <v>10000</v>
      </c>
      <c r="G80" s="118">
        <f t="shared" si="5"/>
        <v>10000</v>
      </c>
      <c r="H80" s="127"/>
      <c r="I80" s="128"/>
    </row>
    <row r="81" spans="1:9" ht="16.5">
      <c r="A81" s="120" t="s">
        <v>46</v>
      </c>
      <c r="B81" s="121">
        <f t="shared" ref="B81:G81" si="6">SUM(B75:B80)</f>
        <v>45000</v>
      </c>
      <c r="C81" s="121">
        <f t="shared" si="6"/>
        <v>0</v>
      </c>
      <c r="D81" s="121">
        <f t="shared" si="6"/>
        <v>5900</v>
      </c>
      <c r="E81" s="121">
        <f t="shared" si="6"/>
        <v>6667</v>
      </c>
      <c r="F81" s="121">
        <f t="shared" si="6"/>
        <v>50900</v>
      </c>
      <c r="G81" s="121">
        <f t="shared" si="6"/>
        <v>44233</v>
      </c>
      <c r="H81" s="122"/>
      <c r="I81" s="123"/>
    </row>
  </sheetData>
  <mergeCells count="38">
    <mergeCell ref="H81:I81"/>
    <mergeCell ref="H74:I74"/>
    <mergeCell ref="H75:I75"/>
    <mergeCell ref="H76:I76"/>
    <mergeCell ref="H77:I77"/>
    <mergeCell ref="H78:I78"/>
    <mergeCell ref="H79:I79"/>
    <mergeCell ref="H56:I56"/>
    <mergeCell ref="H57:I57"/>
    <mergeCell ref="H58:I58"/>
    <mergeCell ref="A61:F62"/>
    <mergeCell ref="E63:F63"/>
    <mergeCell ref="A72:G73"/>
    <mergeCell ref="H72:I73"/>
    <mergeCell ref="A50:G51"/>
    <mergeCell ref="H50:I51"/>
    <mergeCell ref="H52:I52"/>
    <mergeCell ref="H53:I53"/>
    <mergeCell ref="H54:I54"/>
    <mergeCell ref="H55:I55"/>
    <mergeCell ref="H31:I31"/>
    <mergeCell ref="H32:I32"/>
    <mergeCell ref="H33:I33"/>
    <mergeCell ref="H34:I34"/>
    <mergeCell ref="A38:F39"/>
    <mergeCell ref="E40:F40"/>
    <mergeCell ref="H25:I25"/>
    <mergeCell ref="H26:I26"/>
    <mergeCell ref="H27:I27"/>
    <mergeCell ref="H28:I28"/>
    <mergeCell ref="H29:I29"/>
    <mergeCell ref="H30:I30"/>
    <mergeCell ref="A1:F2"/>
    <mergeCell ref="G1:G3"/>
    <mergeCell ref="A11:F12"/>
    <mergeCell ref="E13:F13"/>
    <mergeCell ref="A23:G24"/>
    <mergeCell ref="H23:I2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CE93-D189-4E91-8F7E-2A1CDFF78B27}">
  <dimension ref="A1:H118"/>
  <sheetViews>
    <sheetView topLeftCell="A88" workbookViewId="0">
      <selection activeCell="C63" sqref="C63"/>
    </sheetView>
  </sheetViews>
  <sheetFormatPr defaultRowHeight="15"/>
  <cols>
    <col min="1" max="2" width="17" customWidth="1"/>
    <col min="3" max="3" width="17.140625" customWidth="1"/>
    <col min="4" max="4" width="15.7109375" customWidth="1"/>
    <col min="5" max="5" width="17.5703125" customWidth="1"/>
    <col min="6" max="6" width="18.85546875" customWidth="1"/>
    <col min="7" max="7" width="20.140625" customWidth="1"/>
    <col min="8" max="8" width="15.28515625" customWidth="1"/>
  </cols>
  <sheetData>
    <row r="1" spans="1:8" ht="18.75">
      <c r="A1" s="1" t="s">
        <v>0</v>
      </c>
      <c r="B1" s="1" t="s">
        <v>110</v>
      </c>
      <c r="C1" s="2" t="s">
        <v>1</v>
      </c>
      <c r="D1" s="2" t="s">
        <v>2</v>
      </c>
      <c r="E1" s="3" t="s">
        <v>3</v>
      </c>
      <c r="F1" s="1" t="s">
        <v>4</v>
      </c>
      <c r="G1" s="4" t="s">
        <v>5</v>
      </c>
      <c r="H1" s="5" t="s">
        <v>6</v>
      </c>
    </row>
    <row r="2" spans="1:8" ht="15.75">
      <c r="A2" s="6" t="s">
        <v>109</v>
      </c>
      <c r="B2" s="6" t="s">
        <v>111</v>
      </c>
      <c r="C2" s="7">
        <v>435000</v>
      </c>
      <c r="D2" s="7">
        <v>250000</v>
      </c>
      <c r="E2" s="8">
        <v>45892</v>
      </c>
      <c r="F2" s="6" t="s">
        <v>7</v>
      </c>
      <c r="G2" s="7"/>
      <c r="H2" s="7"/>
    </row>
    <row r="3" spans="1:8" ht="15.75">
      <c r="A3" s="6"/>
      <c r="B3" s="6"/>
      <c r="C3" s="7"/>
      <c r="D3" s="7">
        <v>150000</v>
      </c>
      <c r="E3" s="8">
        <v>45892</v>
      </c>
      <c r="F3" s="6" t="s">
        <v>7</v>
      </c>
      <c r="G3" s="9" t="s">
        <v>8</v>
      </c>
      <c r="H3" s="7"/>
    </row>
    <row r="4" spans="1:8" ht="15.75">
      <c r="A4" s="6"/>
      <c r="B4" s="6"/>
      <c r="C4" s="7"/>
      <c r="D4" s="7">
        <v>35000</v>
      </c>
      <c r="E4" s="8">
        <v>46040</v>
      </c>
      <c r="F4" s="6" t="s">
        <v>112</v>
      </c>
      <c r="G4" s="7"/>
      <c r="H4" s="7"/>
    </row>
    <row r="5" spans="1:8" ht="15.75">
      <c r="A5" s="6"/>
      <c r="B5" s="6"/>
      <c r="C5" s="7"/>
      <c r="D5" s="7"/>
      <c r="E5" s="8"/>
      <c r="F5" s="6"/>
      <c r="G5" s="7">
        <f>SUM(D2:D4)</f>
        <v>435000</v>
      </c>
      <c r="H5" s="7">
        <f>C2-G5</f>
        <v>0</v>
      </c>
    </row>
    <row r="6" spans="1:8" ht="15.75">
      <c r="A6" s="10"/>
      <c r="B6" s="10"/>
      <c r="C6" s="11"/>
      <c r="D6" s="11"/>
      <c r="E6" s="12"/>
      <c r="F6" s="10"/>
      <c r="G6" s="11"/>
      <c r="H6" s="11"/>
    </row>
    <row r="7" spans="1:8" ht="15.75">
      <c r="A7" s="6" t="s">
        <v>113</v>
      </c>
      <c r="B7" s="6" t="s">
        <v>114</v>
      </c>
      <c r="C7" s="7">
        <v>37000</v>
      </c>
      <c r="D7" s="7">
        <v>10000</v>
      </c>
      <c r="E7" s="13">
        <v>45966</v>
      </c>
      <c r="F7" s="6" t="s">
        <v>9</v>
      </c>
      <c r="G7" s="7"/>
      <c r="H7" s="7"/>
    </row>
    <row r="8" spans="1:8" ht="15.75">
      <c r="A8" s="6"/>
      <c r="B8" s="6"/>
      <c r="C8" s="7"/>
      <c r="D8" s="7">
        <v>2500</v>
      </c>
      <c r="E8" s="13">
        <v>46039</v>
      </c>
      <c r="F8" s="6" t="s">
        <v>9</v>
      </c>
      <c r="G8" s="7"/>
      <c r="H8" s="7"/>
    </row>
    <row r="9" spans="1:8" ht="15.75">
      <c r="A9" s="6"/>
      <c r="B9" s="6"/>
      <c r="C9" s="7"/>
      <c r="D9" s="7">
        <v>5000</v>
      </c>
      <c r="E9" s="13">
        <v>46056</v>
      </c>
      <c r="F9" s="6" t="s">
        <v>7</v>
      </c>
      <c r="G9" s="7"/>
      <c r="H9" s="7"/>
    </row>
    <row r="10" spans="1:8" ht="15.75">
      <c r="A10" s="6"/>
      <c r="B10" s="6"/>
      <c r="C10" s="7"/>
      <c r="D10" s="7">
        <v>5000</v>
      </c>
      <c r="E10" s="13">
        <v>46059</v>
      </c>
      <c r="F10" s="6" t="s">
        <v>7</v>
      </c>
      <c r="G10" s="7"/>
      <c r="H10" s="7"/>
    </row>
    <row r="11" spans="1:8" ht="15.75">
      <c r="A11" s="6"/>
      <c r="B11" s="6"/>
      <c r="C11" s="7"/>
      <c r="D11" s="7">
        <v>5000</v>
      </c>
      <c r="E11" s="13">
        <v>46067</v>
      </c>
      <c r="F11" s="6" t="s">
        <v>9</v>
      </c>
      <c r="G11" s="7"/>
      <c r="H11" s="7"/>
    </row>
    <row r="12" spans="1:8" ht="15.75">
      <c r="A12" s="6"/>
      <c r="B12" s="6"/>
      <c r="C12" s="7"/>
      <c r="D12" s="7">
        <v>3500</v>
      </c>
      <c r="E12" s="13">
        <v>46076</v>
      </c>
      <c r="F12" s="6" t="s">
        <v>7</v>
      </c>
      <c r="G12" s="7"/>
      <c r="H12" s="7"/>
    </row>
    <row r="13" spans="1:8" ht="15.75">
      <c r="A13" s="6"/>
      <c r="B13" s="6"/>
      <c r="C13" s="7"/>
      <c r="D13" s="7">
        <v>6000</v>
      </c>
      <c r="E13" s="13">
        <v>46086</v>
      </c>
      <c r="F13" s="6" t="s">
        <v>7</v>
      </c>
      <c r="G13" s="7"/>
      <c r="H13" s="7"/>
    </row>
    <row r="14" spans="1:8" ht="15.75">
      <c r="A14" s="6"/>
      <c r="B14" s="6"/>
      <c r="C14" s="7"/>
      <c r="D14" s="7"/>
      <c r="E14" s="13"/>
      <c r="F14" s="6"/>
      <c r="G14" s="7">
        <f>SUM(D7:D13)</f>
        <v>37000</v>
      </c>
      <c r="H14" s="7">
        <f>C7-G14</f>
        <v>0</v>
      </c>
    </row>
    <row r="15" spans="1:8" ht="15.75">
      <c r="A15" s="10"/>
      <c r="B15" s="10"/>
      <c r="C15" s="11"/>
      <c r="D15" s="11"/>
      <c r="E15" s="14"/>
      <c r="F15" s="10"/>
      <c r="G15" s="11"/>
      <c r="H15" s="11"/>
    </row>
    <row r="16" spans="1:8" ht="15.75">
      <c r="A16" s="6" t="s">
        <v>10</v>
      </c>
      <c r="B16" s="6" t="s">
        <v>111</v>
      </c>
      <c r="C16" s="15">
        <v>431000</v>
      </c>
      <c r="D16" s="15">
        <v>100000</v>
      </c>
      <c r="E16" s="8">
        <v>46029</v>
      </c>
      <c r="F16" s="6" t="s">
        <v>7</v>
      </c>
      <c r="G16" s="15"/>
      <c r="H16" s="7"/>
    </row>
    <row r="17" spans="1:8" ht="15.75">
      <c r="A17" s="6"/>
      <c r="B17" s="6"/>
      <c r="C17" s="15"/>
      <c r="D17" s="15">
        <v>50000</v>
      </c>
      <c r="E17" s="8">
        <v>46032</v>
      </c>
      <c r="F17" s="6" t="s">
        <v>9</v>
      </c>
      <c r="G17" s="15"/>
      <c r="H17" s="7"/>
    </row>
    <row r="18" spans="1:8" ht="15.75">
      <c r="A18" s="6"/>
      <c r="B18" s="6"/>
      <c r="C18" s="15"/>
      <c r="D18" s="15">
        <v>50000</v>
      </c>
      <c r="E18" s="8">
        <v>46035</v>
      </c>
      <c r="F18" s="6" t="s">
        <v>7</v>
      </c>
      <c r="G18" s="15"/>
      <c r="H18" s="7"/>
    </row>
    <row r="19" spans="1:8" ht="15.75">
      <c r="A19" s="6"/>
      <c r="B19" s="6"/>
      <c r="C19" s="15"/>
      <c r="D19" s="15">
        <v>50000</v>
      </c>
      <c r="E19" s="8">
        <v>46063</v>
      </c>
      <c r="F19" s="6" t="s">
        <v>9</v>
      </c>
      <c r="G19" s="15"/>
      <c r="H19" s="7"/>
    </row>
    <row r="20" spans="1:8" ht="15.75">
      <c r="A20" s="6"/>
      <c r="B20" s="6"/>
      <c r="C20" s="15"/>
      <c r="D20" s="15">
        <v>70000</v>
      </c>
      <c r="E20" s="8">
        <v>46066</v>
      </c>
      <c r="F20" s="6" t="s">
        <v>9</v>
      </c>
      <c r="G20" s="15"/>
      <c r="H20" s="7"/>
    </row>
    <row r="21" spans="1:8" ht="15.75">
      <c r="A21" s="6"/>
      <c r="B21" s="6"/>
      <c r="C21" s="15"/>
      <c r="D21" s="15">
        <v>10000</v>
      </c>
      <c r="E21" s="8">
        <v>46069</v>
      </c>
      <c r="F21" s="6" t="s">
        <v>9</v>
      </c>
      <c r="G21" s="15"/>
      <c r="H21" s="7"/>
    </row>
    <row r="22" spans="1:8" ht="15.75">
      <c r="A22" s="6"/>
      <c r="B22" s="6"/>
      <c r="C22" s="15"/>
      <c r="D22" s="15">
        <v>10000</v>
      </c>
      <c r="E22" s="8">
        <v>46072</v>
      </c>
      <c r="F22" s="6" t="s">
        <v>7</v>
      </c>
      <c r="G22" s="15"/>
      <c r="H22" s="7"/>
    </row>
    <row r="23" spans="1:8" ht="15.75">
      <c r="A23" s="6"/>
      <c r="B23" s="6"/>
      <c r="C23" s="15"/>
      <c r="D23" s="15">
        <v>10000</v>
      </c>
      <c r="E23" s="8">
        <v>46076</v>
      </c>
      <c r="F23" s="6" t="s">
        <v>7</v>
      </c>
      <c r="G23" s="15"/>
      <c r="H23" s="7"/>
    </row>
    <row r="24" spans="1:8" ht="15.75">
      <c r="A24" s="6"/>
      <c r="B24" s="6"/>
      <c r="C24" s="15"/>
      <c r="D24" s="15">
        <v>12000</v>
      </c>
      <c r="E24" s="8">
        <v>46078</v>
      </c>
      <c r="F24" s="6" t="s">
        <v>7</v>
      </c>
      <c r="G24" s="15"/>
      <c r="H24" s="7"/>
    </row>
    <row r="25" spans="1:8" ht="15.75">
      <c r="A25" s="6"/>
      <c r="B25" s="6"/>
      <c r="C25" s="15"/>
      <c r="D25" s="15">
        <v>5000</v>
      </c>
      <c r="E25" s="8">
        <v>46082</v>
      </c>
      <c r="F25" s="6" t="s">
        <v>7</v>
      </c>
      <c r="G25" s="15"/>
      <c r="H25" s="7"/>
    </row>
    <row r="26" spans="1:8" ht="15.75">
      <c r="A26" s="6"/>
      <c r="B26" s="6"/>
      <c r="C26" s="15"/>
      <c r="D26" s="15">
        <v>15000</v>
      </c>
      <c r="E26" s="8">
        <v>46084</v>
      </c>
      <c r="F26" s="6" t="s">
        <v>7</v>
      </c>
      <c r="G26" s="15"/>
      <c r="H26" s="7"/>
    </row>
    <row r="27" spans="1:8" ht="15.75">
      <c r="A27" s="6"/>
      <c r="B27" s="6"/>
      <c r="C27" s="15"/>
      <c r="D27" s="15">
        <v>9000</v>
      </c>
      <c r="E27" s="8">
        <v>46086</v>
      </c>
      <c r="F27" s="6" t="s">
        <v>7</v>
      </c>
      <c r="G27" s="15"/>
      <c r="H27" s="7"/>
    </row>
    <row r="28" spans="1:8" ht="15.75">
      <c r="A28" s="6"/>
      <c r="B28" s="6"/>
      <c r="C28" s="15"/>
      <c r="D28" s="15">
        <v>10000</v>
      </c>
      <c r="E28" s="8">
        <v>46088</v>
      </c>
      <c r="F28" s="6" t="s">
        <v>7</v>
      </c>
      <c r="G28" s="15"/>
      <c r="H28" s="7"/>
    </row>
    <row r="29" spans="1:8" ht="15.75">
      <c r="A29" s="6"/>
      <c r="B29" s="6"/>
      <c r="C29" s="15"/>
      <c r="D29" s="15">
        <v>10000</v>
      </c>
      <c r="E29" s="8">
        <v>46090</v>
      </c>
      <c r="F29" s="6" t="s">
        <v>7</v>
      </c>
      <c r="G29" s="15"/>
      <c r="H29" s="7"/>
    </row>
    <row r="30" spans="1:8" ht="15.75">
      <c r="A30" s="6"/>
      <c r="B30" s="6"/>
      <c r="C30" s="15"/>
      <c r="D30" s="15">
        <v>20000</v>
      </c>
      <c r="E30" s="8">
        <v>46091</v>
      </c>
      <c r="F30" s="6" t="s">
        <v>7</v>
      </c>
      <c r="G30" s="15"/>
      <c r="H30" s="7"/>
    </row>
    <row r="31" spans="1:8" ht="15.75">
      <c r="A31" s="6"/>
      <c r="B31" s="6"/>
      <c r="C31" s="7"/>
      <c r="D31" s="7"/>
      <c r="E31" s="8"/>
      <c r="F31" s="6"/>
      <c r="G31" s="7">
        <f>SUM(D16:D30)</f>
        <v>431000</v>
      </c>
      <c r="H31" s="16">
        <f>C16-G31</f>
        <v>0</v>
      </c>
    </row>
    <row r="32" spans="1:8" ht="15.75">
      <c r="A32" s="10"/>
      <c r="B32" s="10"/>
      <c r="C32" s="17"/>
      <c r="D32" s="17"/>
      <c r="E32" s="12"/>
      <c r="F32" s="10"/>
      <c r="G32" s="17"/>
      <c r="H32" s="18"/>
    </row>
    <row r="33" spans="1:8" ht="15.75">
      <c r="A33" s="6" t="s">
        <v>116</v>
      </c>
      <c r="B33" s="6" t="s">
        <v>115</v>
      </c>
      <c r="C33" s="7">
        <v>200000</v>
      </c>
      <c r="D33" s="7">
        <v>30000</v>
      </c>
      <c r="E33" s="13">
        <v>45890</v>
      </c>
      <c r="F33" s="6" t="s">
        <v>7</v>
      </c>
      <c r="G33" s="7"/>
      <c r="H33" s="7"/>
    </row>
    <row r="34" spans="1:8" ht="15.75">
      <c r="A34" s="6"/>
      <c r="B34" s="6"/>
      <c r="C34" s="7"/>
      <c r="D34" s="7">
        <v>10000</v>
      </c>
      <c r="E34" s="13" t="s">
        <v>11</v>
      </c>
      <c r="F34" s="6" t="s">
        <v>7</v>
      </c>
      <c r="G34" s="7"/>
      <c r="H34" s="7"/>
    </row>
    <row r="35" spans="1:8" ht="15.75">
      <c r="A35" s="6"/>
      <c r="B35" s="6"/>
      <c r="C35" s="7"/>
      <c r="D35" s="7">
        <v>10000</v>
      </c>
      <c r="E35" s="13">
        <v>45895</v>
      </c>
      <c r="F35" s="6" t="s">
        <v>7</v>
      </c>
      <c r="G35" s="7"/>
      <c r="H35" s="7"/>
    </row>
    <row r="36" spans="1:8" ht="15.75">
      <c r="A36" s="6"/>
      <c r="B36" s="6"/>
      <c r="C36" s="7"/>
      <c r="D36" s="7">
        <v>10000</v>
      </c>
      <c r="E36" s="13">
        <v>45906</v>
      </c>
      <c r="F36" s="6" t="s">
        <v>7</v>
      </c>
      <c r="G36" s="7"/>
      <c r="H36" s="7"/>
    </row>
    <row r="37" spans="1:8" ht="15.75">
      <c r="A37" s="6"/>
      <c r="B37" s="6"/>
      <c r="C37" s="7"/>
      <c r="D37" s="7">
        <v>50000</v>
      </c>
      <c r="E37" s="13">
        <v>45915</v>
      </c>
      <c r="F37" s="6" t="s">
        <v>7</v>
      </c>
      <c r="G37" s="7"/>
      <c r="H37" s="7"/>
    </row>
    <row r="38" spans="1:8" ht="15.75">
      <c r="A38" s="6"/>
      <c r="B38" s="6"/>
      <c r="C38" s="7"/>
      <c r="D38" s="7">
        <v>6500</v>
      </c>
      <c r="E38" s="13" t="s">
        <v>12</v>
      </c>
      <c r="F38" s="6" t="s">
        <v>7</v>
      </c>
      <c r="G38" s="7"/>
      <c r="H38" s="7"/>
    </row>
    <row r="39" spans="1:8" ht="15.75">
      <c r="A39" s="6"/>
      <c r="B39" s="6"/>
      <c r="C39" s="7"/>
      <c r="D39" s="7">
        <v>5000</v>
      </c>
      <c r="E39" s="13">
        <v>45927</v>
      </c>
      <c r="F39" s="6" t="s">
        <v>7</v>
      </c>
      <c r="G39" s="7"/>
      <c r="H39" s="7"/>
    </row>
    <row r="40" spans="1:8" ht="15.75">
      <c r="A40" s="6"/>
      <c r="B40" s="6"/>
      <c r="C40" s="7"/>
      <c r="D40" s="7">
        <v>4500</v>
      </c>
      <c r="E40" s="13">
        <v>45937</v>
      </c>
      <c r="F40" s="6" t="s">
        <v>7</v>
      </c>
      <c r="G40" s="7"/>
      <c r="H40" s="7"/>
    </row>
    <row r="41" spans="1:8" ht="15.75">
      <c r="A41" s="6"/>
      <c r="B41" s="6"/>
      <c r="C41" s="7"/>
      <c r="D41" s="7">
        <v>40000</v>
      </c>
      <c r="E41" s="13">
        <v>46040</v>
      </c>
      <c r="F41" s="6" t="s">
        <v>7</v>
      </c>
      <c r="G41" s="7"/>
      <c r="H41" s="7"/>
    </row>
    <row r="42" spans="1:8" ht="15.75">
      <c r="A42" s="6"/>
      <c r="B42" s="6"/>
      <c r="C42" s="7"/>
      <c r="D42" s="7">
        <v>3000</v>
      </c>
      <c r="E42" s="13">
        <v>46067</v>
      </c>
      <c r="F42" s="6" t="s">
        <v>9</v>
      </c>
      <c r="G42" s="7"/>
      <c r="H42" s="7"/>
    </row>
    <row r="43" spans="1:8" ht="15.75">
      <c r="A43" s="6"/>
      <c r="B43" s="6"/>
      <c r="C43" s="7"/>
      <c r="D43" s="7">
        <v>6000</v>
      </c>
      <c r="E43" s="13">
        <v>46076</v>
      </c>
      <c r="F43" s="6" t="s">
        <v>7</v>
      </c>
      <c r="G43" s="7"/>
      <c r="H43" s="7"/>
    </row>
    <row r="44" spans="1:8" ht="15.75">
      <c r="A44" s="6"/>
      <c r="B44" s="6"/>
      <c r="C44" s="7"/>
      <c r="D44" s="7">
        <v>1000</v>
      </c>
      <c r="E44" s="13">
        <v>46080</v>
      </c>
      <c r="F44" s="6" t="s">
        <v>7</v>
      </c>
      <c r="G44" s="7"/>
      <c r="H44" s="7"/>
    </row>
    <row r="45" spans="1:8" ht="15.75">
      <c r="A45" s="6"/>
      <c r="B45" s="6"/>
      <c r="C45" s="7"/>
      <c r="D45" s="7">
        <v>5000</v>
      </c>
      <c r="E45" s="13">
        <v>46110</v>
      </c>
      <c r="F45" s="6" t="s">
        <v>7</v>
      </c>
      <c r="G45" s="7"/>
      <c r="H45" s="7"/>
    </row>
    <row r="46" spans="1:8" ht="15.75">
      <c r="A46" s="6"/>
      <c r="B46" s="6"/>
      <c r="C46" s="7"/>
      <c r="D46" s="7">
        <v>10000</v>
      </c>
      <c r="E46" s="13">
        <v>46119</v>
      </c>
      <c r="F46" s="6" t="s">
        <v>7</v>
      </c>
      <c r="G46" s="7"/>
      <c r="H46" s="7"/>
    </row>
    <row r="47" spans="1:8" ht="15.75">
      <c r="A47" s="6"/>
      <c r="B47" s="6"/>
      <c r="C47" s="7"/>
      <c r="D47" s="7">
        <v>9000</v>
      </c>
      <c r="E47" s="13">
        <v>46130</v>
      </c>
      <c r="F47" s="6" t="s">
        <v>7</v>
      </c>
      <c r="G47" s="7"/>
      <c r="H47" s="7"/>
    </row>
    <row r="48" spans="1:8" ht="15.75">
      <c r="A48" s="6"/>
      <c r="B48" s="6"/>
      <c r="C48" s="7"/>
      <c r="D48" s="7"/>
      <c r="E48" s="13"/>
      <c r="F48" s="6"/>
      <c r="G48" s="7">
        <f>SUM(D33:D47)</f>
        <v>200000</v>
      </c>
      <c r="H48" s="7">
        <f>C33-G48</f>
        <v>0</v>
      </c>
    </row>
    <row r="49" spans="1:8" ht="15.75">
      <c r="A49" s="10"/>
      <c r="B49" s="10"/>
      <c r="C49" s="17"/>
      <c r="D49" s="17"/>
      <c r="E49" s="14"/>
      <c r="F49" s="10"/>
      <c r="G49" s="17"/>
      <c r="H49" s="17"/>
    </row>
    <row r="50" spans="1:8" ht="15.75">
      <c r="A50" s="6" t="s">
        <v>117</v>
      </c>
      <c r="B50" s="6" t="s">
        <v>118</v>
      </c>
      <c r="C50" s="7">
        <v>283500</v>
      </c>
      <c r="D50" s="7">
        <v>10000</v>
      </c>
      <c r="E50" s="13">
        <v>45966</v>
      </c>
      <c r="F50" s="6" t="s">
        <v>9</v>
      </c>
      <c r="G50" s="7"/>
      <c r="H50" s="7"/>
    </row>
    <row r="51" spans="1:8" ht="15.75">
      <c r="A51" s="6"/>
      <c r="B51" s="6"/>
      <c r="C51" s="7"/>
      <c r="D51" s="7">
        <v>30000</v>
      </c>
      <c r="E51" s="13">
        <v>46035</v>
      </c>
      <c r="F51" s="6" t="s">
        <v>13</v>
      </c>
      <c r="G51" s="7"/>
      <c r="H51" s="7"/>
    </row>
    <row r="52" spans="1:8" ht="15.75">
      <c r="A52" s="6"/>
      <c r="B52" s="6"/>
      <c r="C52" s="7"/>
      <c r="D52" s="7">
        <v>25000</v>
      </c>
      <c r="E52" s="13">
        <v>46059</v>
      </c>
      <c r="F52" s="6" t="s">
        <v>7</v>
      </c>
      <c r="G52" s="7"/>
      <c r="H52" s="7"/>
    </row>
    <row r="53" spans="1:8" ht="15.75">
      <c r="A53" s="6"/>
      <c r="B53" s="6"/>
      <c r="C53" s="7"/>
      <c r="D53" s="7">
        <v>25000</v>
      </c>
      <c r="E53" s="13">
        <v>46078</v>
      </c>
      <c r="F53" s="6" t="s">
        <v>7</v>
      </c>
      <c r="G53" s="7"/>
      <c r="H53" s="7"/>
    </row>
    <row r="54" spans="1:8" ht="15.75">
      <c r="A54" s="6"/>
      <c r="B54" s="6"/>
      <c r="C54" s="7"/>
      <c r="D54" s="7">
        <v>50000</v>
      </c>
      <c r="E54" s="13">
        <v>46100</v>
      </c>
      <c r="F54" s="6" t="s">
        <v>7</v>
      </c>
      <c r="G54" s="7"/>
      <c r="H54" s="7"/>
    </row>
    <row r="55" spans="1:8" ht="15.75">
      <c r="A55" s="6"/>
      <c r="B55" s="6"/>
      <c r="C55" s="7"/>
      <c r="D55" s="7">
        <v>43000</v>
      </c>
      <c r="E55" s="13">
        <v>46113</v>
      </c>
      <c r="F55" s="6" t="s">
        <v>7</v>
      </c>
      <c r="G55" s="7"/>
      <c r="H55" s="7"/>
    </row>
    <row r="56" spans="1:8" ht="15.75">
      <c r="A56" s="6"/>
      <c r="B56" s="6"/>
      <c r="C56" s="7"/>
      <c r="D56" s="7">
        <v>50000</v>
      </c>
      <c r="E56" s="13">
        <v>46129</v>
      </c>
      <c r="F56" s="6" t="s">
        <v>7</v>
      </c>
      <c r="G56" s="7"/>
      <c r="H56" s="7"/>
    </row>
    <row r="57" spans="1:8" ht="15.75">
      <c r="A57" s="6"/>
      <c r="B57" s="6"/>
      <c r="C57" s="7"/>
      <c r="D57" s="7">
        <v>30500</v>
      </c>
      <c r="E57" s="13">
        <v>46147</v>
      </c>
      <c r="F57" s="6" t="s">
        <v>9</v>
      </c>
      <c r="G57" s="7"/>
      <c r="H57" s="7"/>
    </row>
    <row r="58" spans="1:8" ht="15.75">
      <c r="A58" s="6"/>
      <c r="B58" s="6"/>
      <c r="C58" s="7"/>
      <c r="D58" s="7">
        <v>20000</v>
      </c>
      <c r="E58" s="13">
        <v>46155</v>
      </c>
      <c r="F58" s="6" t="s">
        <v>7</v>
      </c>
      <c r="G58" s="7"/>
      <c r="H58" s="7"/>
    </row>
    <row r="59" spans="1:8" ht="15.75">
      <c r="A59" s="6"/>
      <c r="B59" s="6"/>
      <c r="C59" s="7"/>
      <c r="D59" s="7"/>
      <c r="E59" s="13"/>
      <c r="F59" s="6"/>
      <c r="G59" s="7">
        <f>SUM(D50:D58)</f>
        <v>283500</v>
      </c>
      <c r="H59" s="7">
        <f>C50-G59</f>
        <v>0</v>
      </c>
    </row>
    <row r="60" spans="1:8" ht="15.75">
      <c r="A60" s="10"/>
      <c r="B60" s="10"/>
      <c r="C60" s="11"/>
      <c r="D60" s="11"/>
      <c r="E60" s="12"/>
      <c r="F60" s="10"/>
      <c r="G60" s="11"/>
      <c r="H60" s="11"/>
    </row>
    <row r="61" spans="1:8" ht="15.75">
      <c r="A61" s="10" t="s">
        <v>113</v>
      </c>
      <c r="B61" s="10" t="s">
        <v>119</v>
      </c>
      <c r="C61" s="11">
        <v>50000</v>
      </c>
      <c r="D61" s="11">
        <v>5000</v>
      </c>
      <c r="E61" s="14">
        <v>46094</v>
      </c>
      <c r="F61" s="10" t="s">
        <v>7</v>
      </c>
      <c r="G61" s="11"/>
      <c r="H61" s="11"/>
    </row>
    <row r="62" spans="1:8" ht="15.75">
      <c r="A62" s="10"/>
      <c r="B62" s="10"/>
      <c r="C62" s="11"/>
      <c r="D62" s="11">
        <v>10000</v>
      </c>
      <c r="E62" s="14">
        <v>46106</v>
      </c>
      <c r="F62" s="10" t="s">
        <v>9</v>
      </c>
      <c r="G62" s="11"/>
      <c r="H62" s="11"/>
    </row>
    <row r="63" spans="1:8" ht="15.75">
      <c r="A63" s="10"/>
      <c r="B63" s="10"/>
      <c r="C63" s="11"/>
      <c r="D63" s="11">
        <v>5000</v>
      </c>
      <c r="E63" s="14">
        <v>46118</v>
      </c>
      <c r="F63" s="10" t="s">
        <v>7</v>
      </c>
      <c r="G63" s="11"/>
      <c r="H63" s="11"/>
    </row>
    <row r="64" spans="1:8" ht="15.75">
      <c r="A64" s="10"/>
      <c r="B64" s="10"/>
      <c r="C64" s="11"/>
      <c r="D64" s="11">
        <v>5000</v>
      </c>
      <c r="E64" s="14">
        <v>46129</v>
      </c>
      <c r="F64" s="10" t="s">
        <v>7</v>
      </c>
      <c r="G64" s="11"/>
      <c r="H64" s="11"/>
    </row>
    <row r="65" spans="1:8" ht="15.75">
      <c r="A65" s="10"/>
      <c r="B65" s="10"/>
      <c r="C65" s="11"/>
      <c r="D65" s="11">
        <v>5000</v>
      </c>
      <c r="E65" s="14">
        <v>46131</v>
      </c>
      <c r="F65" s="10" t="s">
        <v>7</v>
      </c>
      <c r="G65" s="11"/>
      <c r="H65" s="11"/>
    </row>
    <row r="66" spans="1:8" ht="15.75">
      <c r="A66" s="10"/>
      <c r="B66" s="10"/>
      <c r="C66" s="11"/>
      <c r="D66" s="11">
        <v>5000</v>
      </c>
      <c r="E66" s="14">
        <v>46139</v>
      </c>
      <c r="F66" s="10" t="s">
        <v>7</v>
      </c>
      <c r="G66" s="11"/>
      <c r="H66" s="11"/>
    </row>
    <row r="67" spans="1:8" ht="15.75">
      <c r="A67" s="10"/>
      <c r="B67" s="10"/>
      <c r="C67" s="11"/>
      <c r="D67" s="11">
        <v>5000</v>
      </c>
      <c r="E67" s="14">
        <v>46149</v>
      </c>
      <c r="F67" s="10" t="s">
        <v>9</v>
      </c>
      <c r="G67" s="11"/>
      <c r="H67" s="11"/>
    </row>
    <row r="68" spans="1:8" ht="15.75">
      <c r="A68" s="19"/>
      <c r="B68" s="19"/>
      <c r="C68" s="20"/>
      <c r="D68" s="20"/>
      <c r="E68" s="21"/>
      <c r="F68" s="19"/>
      <c r="G68" s="20">
        <f>SUM(D61:D67)</f>
        <v>40000</v>
      </c>
      <c r="H68" s="20">
        <f>C61-G68</f>
        <v>10000</v>
      </c>
    </row>
    <row r="69" spans="1:8" ht="15.75">
      <c r="A69" s="10"/>
      <c r="B69" s="10"/>
      <c r="C69" s="11"/>
      <c r="D69" s="11"/>
      <c r="E69" s="12"/>
      <c r="F69" s="10"/>
      <c r="G69" s="11"/>
      <c r="H69" s="11"/>
    </row>
    <row r="70" spans="1:8" ht="15.75">
      <c r="A70" s="10" t="s">
        <v>125</v>
      </c>
      <c r="B70" s="10" t="s">
        <v>120</v>
      </c>
      <c r="C70" s="22">
        <v>1180000</v>
      </c>
      <c r="D70" s="22">
        <v>250000</v>
      </c>
      <c r="E70" s="12">
        <v>46015</v>
      </c>
      <c r="F70" s="10" t="s">
        <v>7</v>
      </c>
      <c r="G70" s="11"/>
      <c r="H70" s="11"/>
    </row>
    <row r="71" spans="1:8" ht="15.75">
      <c r="A71" s="10"/>
      <c r="B71" s="10"/>
      <c r="C71" s="22"/>
      <c r="D71" s="22">
        <v>250000</v>
      </c>
      <c r="E71" s="12">
        <v>46015</v>
      </c>
      <c r="F71" s="10" t="s">
        <v>7</v>
      </c>
      <c r="G71" s="11"/>
      <c r="H71" s="11"/>
    </row>
    <row r="72" spans="1:8" ht="15.75">
      <c r="A72" s="10"/>
      <c r="B72" s="10"/>
      <c r="C72" s="22"/>
      <c r="D72" s="22">
        <v>100000</v>
      </c>
      <c r="E72" s="12">
        <v>46099</v>
      </c>
      <c r="F72" s="10" t="s">
        <v>7</v>
      </c>
      <c r="G72" s="11"/>
      <c r="H72" s="11"/>
    </row>
    <row r="73" spans="1:8" ht="15.75">
      <c r="A73" s="10"/>
      <c r="B73" s="10"/>
      <c r="C73" s="22"/>
      <c r="D73" s="22"/>
      <c r="E73" s="12"/>
      <c r="F73" s="10"/>
      <c r="G73" s="11"/>
      <c r="H73" s="11"/>
    </row>
    <row r="74" spans="1:8" ht="15.75">
      <c r="A74" s="19"/>
      <c r="B74" s="19"/>
      <c r="C74" s="23"/>
      <c r="D74" s="23"/>
      <c r="E74" s="21"/>
      <c r="F74" s="19"/>
      <c r="G74" s="20">
        <f>SUM(D70:D72)</f>
        <v>600000</v>
      </c>
      <c r="H74" s="20">
        <f>C70-G74</f>
        <v>580000</v>
      </c>
    </row>
    <row r="75" spans="1:8" ht="15.75">
      <c r="A75" s="10"/>
      <c r="B75" s="10"/>
      <c r="C75" s="22"/>
      <c r="D75" s="22"/>
      <c r="E75" s="12"/>
      <c r="F75" s="10"/>
      <c r="G75" s="11"/>
      <c r="H75" s="11"/>
    </row>
    <row r="76" spans="1:8" ht="15.75">
      <c r="A76" s="10" t="s">
        <v>125</v>
      </c>
      <c r="B76" s="10" t="s">
        <v>120</v>
      </c>
      <c r="C76" s="22">
        <v>1180000</v>
      </c>
      <c r="D76" s="22">
        <v>250000</v>
      </c>
      <c r="E76" s="12">
        <v>46041</v>
      </c>
      <c r="F76" s="10" t="s">
        <v>7</v>
      </c>
      <c r="G76" s="11"/>
      <c r="H76" s="11"/>
    </row>
    <row r="77" spans="1:8" ht="15.75">
      <c r="A77" s="10"/>
      <c r="B77" s="10"/>
      <c r="C77" s="22"/>
      <c r="D77" s="22">
        <v>120000</v>
      </c>
      <c r="E77" s="12">
        <v>46041</v>
      </c>
      <c r="F77" s="10" t="s">
        <v>7</v>
      </c>
      <c r="G77" s="11"/>
      <c r="H77" s="11"/>
    </row>
    <row r="78" spans="1:8" ht="15.75">
      <c r="A78" s="10"/>
      <c r="B78" s="10"/>
      <c r="C78" s="22"/>
      <c r="D78" s="22">
        <v>100000</v>
      </c>
      <c r="E78" s="12">
        <v>46138</v>
      </c>
      <c r="F78" s="10" t="s">
        <v>7</v>
      </c>
      <c r="G78" s="11"/>
      <c r="H78" s="11"/>
    </row>
    <row r="79" spans="1:8" ht="15.75">
      <c r="A79" s="19"/>
      <c r="B79" s="19"/>
      <c r="C79" s="23"/>
      <c r="D79" s="23"/>
      <c r="E79" s="21"/>
      <c r="F79" s="19"/>
      <c r="G79" s="20">
        <f>SUM(D76:D78)</f>
        <v>470000</v>
      </c>
      <c r="H79" s="20">
        <f>C76-G79</f>
        <v>710000</v>
      </c>
    </row>
    <row r="80" spans="1:8">
      <c r="C80" s="24"/>
      <c r="D80" s="24"/>
      <c r="E80" s="25"/>
      <c r="G80" s="24"/>
      <c r="H80" s="24"/>
    </row>
    <row r="81" spans="1:8" ht="15.75">
      <c r="A81" s="10" t="s">
        <v>126</v>
      </c>
      <c r="B81" s="10"/>
      <c r="C81" s="26">
        <v>900000</v>
      </c>
      <c r="D81" s="22">
        <v>20000</v>
      </c>
      <c r="E81" s="12">
        <v>46094</v>
      </c>
      <c r="F81" s="10" t="s">
        <v>7</v>
      </c>
      <c r="G81" s="22"/>
      <c r="H81" s="11"/>
    </row>
    <row r="82" spans="1:8" ht="15.75">
      <c r="A82" s="10"/>
      <c r="B82" s="10"/>
      <c r="C82" s="27"/>
      <c r="D82" s="22">
        <v>10000</v>
      </c>
      <c r="E82" s="12">
        <v>46096</v>
      </c>
      <c r="F82" s="10" t="s">
        <v>7</v>
      </c>
      <c r="G82" s="22"/>
      <c r="H82" s="11"/>
    </row>
    <row r="83" spans="1:8" ht="15.75">
      <c r="A83" s="10"/>
      <c r="B83" s="10"/>
      <c r="C83" s="27"/>
      <c r="D83" s="22">
        <v>5000</v>
      </c>
      <c r="E83" s="12">
        <v>46108</v>
      </c>
      <c r="F83" s="10" t="s">
        <v>9</v>
      </c>
      <c r="G83" s="22"/>
      <c r="H83" s="11"/>
    </row>
    <row r="84" spans="1:8" ht="15.75">
      <c r="A84" s="10"/>
      <c r="B84" s="10"/>
      <c r="C84" s="27"/>
      <c r="D84" s="22">
        <v>40000</v>
      </c>
      <c r="E84" s="12">
        <v>46116</v>
      </c>
      <c r="F84" s="10" t="s">
        <v>7</v>
      </c>
      <c r="G84" s="22"/>
      <c r="H84" s="11"/>
    </row>
    <row r="85" spans="1:8" ht="15.75">
      <c r="A85" s="28"/>
      <c r="B85" s="28"/>
      <c r="C85" s="29"/>
      <c r="D85" s="29"/>
      <c r="E85" s="30"/>
      <c r="F85" s="28"/>
      <c r="G85" s="29">
        <f>SUM(D81:D84)</f>
        <v>75000</v>
      </c>
      <c r="H85" s="31">
        <f>C81-G85</f>
        <v>825000</v>
      </c>
    </row>
    <row r="86" spans="1:8" ht="15.75">
      <c r="A86" s="10"/>
      <c r="B86" s="10"/>
      <c r="C86" s="22"/>
      <c r="D86" s="22"/>
      <c r="E86" s="12"/>
      <c r="F86" s="10"/>
      <c r="G86" s="22"/>
      <c r="H86" s="11"/>
    </row>
    <row r="87" spans="1:8" ht="15.75">
      <c r="A87" s="10" t="s">
        <v>121</v>
      </c>
      <c r="B87" s="10" t="s">
        <v>111</v>
      </c>
      <c r="C87" s="22">
        <v>785000</v>
      </c>
      <c r="D87" s="22">
        <v>90000</v>
      </c>
      <c r="E87" s="12">
        <v>46126</v>
      </c>
      <c r="F87" s="10" t="s">
        <v>7</v>
      </c>
      <c r="G87" s="22"/>
      <c r="H87" s="11"/>
    </row>
    <row r="88" spans="1:8" ht="15.75">
      <c r="A88" s="10"/>
      <c r="B88" s="10"/>
      <c r="C88" s="22"/>
      <c r="D88" s="22">
        <v>10000</v>
      </c>
      <c r="E88" s="12">
        <v>46126</v>
      </c>
      <c r="F88" s="10" t="s">
        <v>7</v>
      </c>
      <c r="G88" s="22"/>
      <c r="H88" s="11"/>
    </row>
    <row r="89" spans="1:8" ht="15.75">
      <c r="A89" s="10"/>
      <c r="B89" s="10"/>
      <c r="C89" s="22"/>
      <c r="D89" s="22">
        <v>80000</v>
      </c>
      <c r="E89" s="12">
        <v>46141</v>
      </c>
      <c r="F89" s="10" t="s">
        <v>7</v>
      </c>
      <c r="G89" s="22"/>
      <c r="H89" s="11"/>
    </row>
    <row r="90" spans="1:8" ht="15.75">
      <c r="A90" s="10"/>
      <c r="B90" s="10"/>
      <c r="C90" s="22"/>
      <c r="D90" s="22">
        <v>50000</v>
      </c>
      <c r="E90" s="12">
        <v>46143</v>
      </c>
      <c r="F90" s="10" t="s">
        <v>7</v>
      </c>
      <c r="G90" s="22"/>
      <c r="H90" s="11"/>
    </row>
    <row r="91" spans="1:8" ht="15.75">
      <c r="A91" s="28"/>
      <c r="B91" s="28"/>
      <c r="C91" s="29"/>
      <c r="D91" s="29"/>
      <c r="E91" s="30"/>
      <c r="F91" s="28"/>
      <c r="G91" s="29">
        <f>SUM(D87:D90)</f>
        <v>230000</v>
      </c>
      <c r="H91" s="31">
        <f>C87-G91</f>
        <v>555000</v>
      </c>
    </row>
    <row r="92" spans="1:8" ht="15.75">
      <c r="A92" s="10"/>
      <c r="B92" s="10"/>
      <c r="C92" s="22"/>
      <c r="D92" s="22"/>
      <c r="E92" s="12"/>
      <c r="F92" s="10"/>
      <c r="G92" s="22"/>
      <c r="H92" s="11"/>
    </row>
    <row r="93" spans="1:8" ht="15.75">
      <c r="A93" s="10" t="s">
        <v>127</v>
      </c>
      <c r="B93" s="10" t="s">
        <v>122</v>
      </c>
      <c r="C93" s="22">
        <v>100000</v>
      </c>
      <c r="D93" s="22">
        <v>5000</v>
      </c>
      <c r="E93" s="12">
        <v>46126</v>
      </c>
      <c r="F93" s="10" t="s">
        <v>7</v>
      </c>
      <c r="G93" s="22"/>
      <c r="H93" s="11"/>
    </row>
    <row r="94" spans="1:8" ht="15.75">
      <c r="A94" s="10"/>
      <c r="B94" s="10"/>
      <c r="C94" s="22"/>
      <c r="D94" s="22">
        <v>4000</v>
      </c>
      <c r="E94" s="12">
        <v>46127</v>
      </c>
      <c r="F94" s="10" t="s">
        <v>7</v>
      </c>
      <c r="G94" s="22"/>
      <c r="H94" s="11"/>
    </row>
    <row r="95" spans="1:8" ht="15.75">
      <c r="A95" s="10"/>
      <c r="B95" s="10"/>
      <c r="C95" s="22"/>
      <c r="D95" s="22">
        <v>6000</v>
      </c>
      <c r="E95" s="12">
        <v>46131</v>
      </c>
      <c r="F95" s="10" t="s">
        <v>7</v>
      </c>
      <c r="G95" s="22"/>
      <c r="H95" s="11"/>
    </row>
    <row r="96" spans="1:8" ht="15.75">
      <c r="A96" s="10"/>
      <c r="B96" s="10"/>
      <c r="C96" s="22"/>
      <c r="D96" s="22">
        <v>5000</v>
      </c>
      <c r="E96" s="12">
        <v>46135</v>
      </c>
      <c r="F96" s="10" t="s">
        <v>7</v>
      </c>
      <c r="G96" s="22"/>
      <c r="H96" s="11"/>
    </row>
    <row r="97" spans="1:8" ht="15.75">
      <c r="A97" s="10"/>
      <c r="B97" s="10"/>
      <c r="C97" s="22"/>
      <c r="D97" s="22">
        <v>3000</v>
      </c>
      <c r="E97" s="12">
        <v>46148</v>
      </c>
      <c r="F97" s="10" t="s">
        <v>7</v>
      </c>
      <c r="G97" s="22"/>
      <c r="H97" s="11"/>
    </row>
    <row r="98" spans="1:8" ht="15.75">
      <c r="A98" s="10"/>
      <c r="B98" s="10"/>
      <c r="C98" s="22"/>
      <c r="D98" s="22">
        <v>2000</v>
      </c>
      <c r="E98" s="12">
        <v>46148</v>
      </c>
      <c r="F98" s="10" t="s">
        <v>7</v>
      </c>
      <c r="G98" s="22"/>
      <c r="H98" s="11"/>
    </row>
    <row r="99" spans="1:8" ht="15.75">
      <c r="A99" s="10"/>
      <c r="B99" s="10"/>
      <c r="C99" s="22"/>
      <c r="D99" s="22">
        <v>5000</v>
      </c>
      <c r="E99" s="12">
        <v>46150</v>
      </c>
      <c r="F99" s="10" t="s">
        <v>9</v>
      </c>
      <c r="G99" s="22"/>
      <c r="H99" s="11"/>
    </row>
    <row r="100" spans="1:8" ht="15.75">
      <c r="A100" s="10"/>
      <c r="B100" s="10"/>
      <c r="C100" s="22"/>
      <c r="D100" s="22">
        <v>10000</v>
      </c>
      <c r="E100" s="12">
        <v>46154</v>
      </c>
      <c r="F100" s="10" t="s">
        <v>7</v>
      </c>
      <c r="G100" s="22"/>
      <c r="H100" s="11"/>
    </row>
    <row r="101" spans="1:8" ht="15.75">
      <c r="A101" s="28"/>
      <c r="B101" s="28"/>
      <c r="C101" s="29"/>
      <c r="D101" s="29"/>
      <c r="E101" s="30"/>
      <c r="F101" s="28"/>
      <c r="G101" s="29">
        <f>SUM(D93:D100)</f>
        <v>40000</v>
      </c>
      <c r="H101" s="31">
        <f>C93-G101</f>
        <v>60000</v>
      </c>
    </row>
    <row r="102" spans="1:8" ht="15.75">
      <c r="A102" s="10"/>
      <c r="B102" s="10"/>
      <c r="C102" s="22"/>
      <c r="D102" s="22"/>
      <c r="E102" s="12"/>
      <c r="F102" s="10"/>
      <c r="G102" s="22"/>
      <c r="H102" s="11"/>
    </row>
    <row r="103" spans="1:8" ht="15.75">
      <c r="A103" s="10" t="s">
        <v>14</v>
      </c>
      <c r="B103" s="10" t="s">
        <v>123</v>
      </c>
      <c r="C103" s="22">
        <v>60000</v>
      </c>
      <c r="D103" s="22">
        <v>0</v>
      </c>
      <c r="E103" s="12"/>
      <c r="F103" s="10"/>
      <c r="G103" s="22"/>
      <c r="H103" s="11"/>
    </row>
    <row r="104" spans="1:8" ht="15.75">
      <c r="A104" s="28"/>
      <c r="B104" s="28"/>
      <c r="C104" s="29"/>
      <c r="D104" s="29"/>
      <c r="E104" s="30"/>
      <c r="F104" s="28"/>
      <c r="G104" s="29"/>
      <c r="H104" s="31"/>
    </row>
    <row r="105" spans="1:8" ht="15.75">
      <c r="A105" s="10"/>
      <c r="B105" s="10"/>
      <c r="C105" s="22"/>
      <c r="D105" s="22"/>
      <c r="E105" s="12"/>
      <c r="F105" s="10"/>
      <c r="G105" s="22"/>
      <c r="H105" s="11"/>
    </row>
    <row r="106" spans="1:8" ht="15.75">
      <c r="A106" s="10" t="s">
        <v>15</v>
      </c>
      <c r="B106" s="10" t="s">
        <v>124</v>
      </c>
      <c r="C106" s="22">
        <v>15000</v>
      </c>
      <c r="D106" s="22">
        <v>0</v>
      </c>
      <c r="E106" s="12"/>
      <c r="F106" s="10"/>
      <c r="G106" s="22"/>
      <c r="H106" s="11"/>
    </row>
    <row r="107" spans="1:8" ht="15.75">
      <c r="A107" s="28"/>
      <c r="B107" s="28"/>
      <c r="C107" s="29"/>
      <c r="D107" s="29"/>
      <c r="E107" s="30"/>
      <c r="F107" s="28"/>
      <c r="G107" s="29"/>
      <c r="H107" s="31"/>
    </row>
    <row r="108" spans="1:8" ht="15.75">
      <c r="A108" s="10"/>
      <c r="B108" s="10"/>
      <c r="C108" s="22"/>
      <c r="D108" s="22"/>
      <c r="E108" s="12"/>
      <c r="F108" s="10"/>
      <c r="G108" s="22"/>
      <c r="H108" s="11"/>
    </row>
    <row r="109" spans="1:8" ht="15.75">
      <c r="A109" s="10" t="s">
        <v>16</v>
      </c>
      <c r="B109" s="10" t="s">
        <v>124</v>
      </c>
      <c r="C109" s="22">
        <v>30000</v>
      </c>
      <c r="D109" s="22">
        <v>5000</v>
      </c>
      <c r="E109" s="12">
        <v>46135</v>
      </c>
      <c r="F109" s="10" t="s">
        <v>7</v>
      </c>
      <c r="G109" s="22"/>
      <c r="H109" s="11"/>
    </row>
    <row r="110" spans="1:8" ht="15.75">
      <c r="A110" s="10"/>
      <c r="B110" s="10"/>
      <c r="C110" s="22"/>
      <c r="D110" s="22">
        <v>10000</v>
      </c>
      <c r="E110" s="12">
        <v>46153</v>
      </c>
      <c r="F110" s="10" t="s">
        <v>7</v>
      </c>
      <c r="G110" s="22"/>
      <c r="H110" s="11"/>
    </row>
    <row r="111" spans="1:8" ht="15.75">
      <c r="A111" s="28"/>
      <c r="B111" s="28"/>
      <c r="C111" s="29"/>
      <c r="D111" s="29"/>
      <c r="E111" s="30"/>
      <c r="F111" s="28"/>
      <c r="G111" s="29">
        <f>SUM(D109:D110)</f>
        <v>15000</v>
      </c>
      <c r="H111" s="31">
        <f>C109-G111</f>
        <v>15000</v>
      </c>
    </row>
    <row r="112" spans="1:8" ht="15.75">
      <c r="A112" s="10"/>
      <c r="B112" s="10"/>
      <c r="C112" s="22"/>
      <c r="D112" s="22"/>
      <c r="E112" s="12"/>
      <c r="F112" s="10"/>
      <c r="G112" s="22"/>
      <c r="H112" s="11"/>
    </row>
    <row r="113" spans="1:8" ht="15.75">
      <c r="A113" s="10"/>
      <c r="B113" s="10"/>
      <c r="C113" s="22"/>
      <c r="D113" s="22"/>
      <c r="E113" s="12"/>
      <c r="F113" s="10"/>
      <c r="G113" s="22"/>
      <c r="H113" s="11"/>
    </row>
    <row r="114" spans="1:8" ht="15.75">
      <c r="A114" s="10"/>
      <c r="B114" s="10"/>
      <c r="C114" s="22"/>
      <c r="D114" s="22"/>
      <c r="E114" s="12"/>
      <c r="F114" s="10"/>
      <c r="G114" s="22"/>
      <c r="H114" s="11"/>
    </row>
    <row r="115" spans="1:8" ht="15.75">
      <c r="A115" s="10"/>
      <c r="B115" s="10"/>
      <c r="C115" s="22"/>
      <c r="D115" s="22"/>
      <c r="E115" s="12"/>
      <c r="F115" s="10"/>
      <c r="G115" s="22"/>
      <c r="H115" s="11"/>
    </row>
    <row r="116" spans="1:8" ht="15.75">
      <c r="A116" s="10"/>
      <c r="B116" s="10"/>
      <c r="C116" s="22"/>
      <c r="D116" s="22"/>
      <c r="E116" s="12"/>
      <c r="F116" s="10"/>
      <c r="G116" s="22"/>
      <c r="H116" s="11"/>
    </row>
    <row r="117" spans="1:8" ht="15.75">
      <c r="A117" s="10"/>
      <c r="B117" s="10"/>
      <c r="C117" s="22"/>
      <c r="D117" s="22"/>
      <c r="E117" s="12"/>
      <c r="F117" s="10"/>
      <c r="G117" s="22"/>
      <c r="H117" s="11"/>
    </row>
    <row r="118" spans="1:8" ht="15.75">
      <c r="A118" s="10"/>
      <c r="B118" s="10"/>
      <c r="C118" s="22"/>
      <c r="D118" s="22"/>
      <c r="E118" s="12"/>
      <c r="F118" s="10"/>
      <c r="G118" s="22"/>
      <c r="H118" s="11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70A2-C500-4A9F-AE30-3F84A2B8AA0B}">
  <dimension ref="A1:H25"/>
  <sheetViews>
    <sheetView tabSelected="1" workbookViewId="0">
      <selection activeCell="L17" sqref="L17"/>
    </sheetView>
  </sheetViews>
  <sheetFormatPr defaultRowHeight="15"/>
  <cols>
    <col min="1" max="1" width="17.42578125" customWidth="1"/>
    <col min="2" max="2" width="22.28515625" customWidth="1"/>
    <col min="3" max="3" width="15.28515625" customWidth="1"/>
    <col min="4" max="4" width="17.42578125" customWidth="1"/>
    <col min="5" max="5" width="19.28515625" customWidth="1"/>
    <col min="6" max="6" width="22.42578125" customWidth="1"/>
    <col min="7" max="7" width="17" customWidth="1"/>
    <col min="8" max="8" width="21.28515625" customWidth="1"/>
  </cols>
  <sheetData>
    <row r="1" spans="1:8" ht="45.75">
      <c r="A1" s="129"/>
      <c r="B1" s="130" t="s">
        <v>66</v>
      </c>
      <c r="C1" s="131"/>
      <c r="D1" s="131"/>
      <c r="E1" s="131"/>
      <c r="F1" s="131"/>
      <c r="G1" s="131"/>
      <c r="H1" s="131"/>
    </row>
    <row r="2" spans="1:8" ht="25.5">
      <c r="A2" s="129"/>
      <c r="B2" s="132" t="s">
        <v>67</v>
      </c>
      <c r="C2" s="133"/>
      <c r="D2" s="133"/>
      <c r="E2" s="133"/>
      <c r="F2" s="133"/>
      <c r="G2" s="133"/>
      <c r="H2" s="133"/>
    </row>
    <row r="3" spans="1:8">
      <c r="A3" s="134"/>
      <c r="B3" s="134"/>
      <c r="C3" s="134"/>
      <c r="D3" s="134"/>
      <c r="E3" s="134"/>
      <c r="F3" s="134"/>
      <c r="G3" s="134"/>
      <c r="H3" s="134"/>
    </row>
    <row r="4" spans="1:8" ht="18.75">
      <c r="A4" s="135" t="s">
        <v>68</v>
      </c>
      <c r="B4" s="135"/>
      <c r="C4" s="135"/>
      <c r="D4" s="135"/>
      <c r="E4" s="135"/>
      <c r="F4" s="135"/>
      <c r="G4" s="135"/>
      <c r="H4" s="135"/>
    </row>
    <row r="5" spans="1:8" ht="18.75">
      <c r="A5" s="136" t="s">
        <v>69</v>
      </c>
      <c r="B5" s="136"/>
      <c r="C5" s="136"/>
      <c r="D5" s="136"/>
      <c r="E5" s="136"/>
      <c r="F5" s="137">
        <v>46023</v>
      </c>
      <c r="G5" s="138"/>
      <c r="H5" s="138"/>
    </row>
    <row r="6" spans="1:8" ht="18.75">
      <c r="A6" s="139" t="s">
        <v>70</v>
      </c>
      <c r="B6" s="139"/>
      <c r="C6" s="139"/>
      <c r="D6" s="139"/>
      <c r="E6" s="139" t="s">
        <v>71</v>
      </c>
      <c r="F6" s="139"/>
      <c r="G6" s="139"/>
      <c r="H6" s="139"/>
    </row>
    <row r="7" spans="1:8" ht="18.75">
      <c r="A7" s="140" t="s">
        <v>72</v>
      </c>
      <c r="B7" s="140" t="s">
        <v>73</v>
      </c>
      <c r="C7" s="140" t="s">
        <v>74</v>
      </c>
      <c r="D7" s="140" t="s">
        <v>75</v>
      </c>
      <c r="E7" s="140" t="s">
        <v>72</v>
      </c>
      <c r="F7" s="140" t="s">
        <v>73</v>
      </c>
      <c r="G7" s="140" t="s">
        <v>76</v>
      </c>
      <c r="H7" s="140" t="s">
        <v>75</v>
      </c>
    </row>
    <row r="8" spans="1:8" ht="15.75">
      <c r="A8" s="141">
        <v>46054</v>
      </c>
      <c r="B8" s="142" t="s">
        <v>77</v>
      </c>
      <c r="C8" s="142" t="s">
        <v>78</v>
      </c>
      <c r="D8" s="143">
        <v>11000</v>
      </c>
      <c r="E8" s="141">
        <v>44199</v>
      </c>
      <c r="F8" s="142" t="s">
        <v>79</v>
      </c>
      <c r="G8" s="142">
        <v>123</v>
      </c>
      <c r="H8" s="143">
        <v>50</v>
      </c>
    </row>
    <row r="9" spans="1:8" ht="15.75">
      <c r="A9" s="141"/>
      <c r="B9" s="142"/>
      <c r="C9" s="142"/>
      <c r="D9" s="143"/>
      <c r="E9" s="141">
        <v>44200</v>
      </c>
      <c r="F9" s="142" t="s">
        <v>80</v>
      </c>
      <c r="G9" s="142">
        <v>124</v>
      </c>
      <c r="H9" s="143">
        <v>500</v>
      </c>
    </row>
    <row r="10" spans="1:8" ht="15.75">
      <c r="A10" s="141"/>
      <c r="B10" s="142"/>
      <c r="C10" s="142"/>
      <c r="D10" s="143"/>
      <c r="E10" s="141">
        <v>44201</v>
      </c>
      <c r="F10" s="142" t="s">
        <v>128</v>
      </c>
      <c r="G10" s="142">
        <v>125</v>
      </c>
      <c r="H10" s="143">
        <v>200</v>
      </c>
    </row>
    <row r="11" spans="1:8" ht="15.75">
      <c r="A11" s="141"/>
      <c r="B11" s="142"/>
      <c r="C11" s="142"/>
      <c r="D11" s="143"/>
      <c r="E11" s="141">
        <v>44202</v>
      </c>
      <c r="F11" s="142" t="s">
        <v>129</v>
      </c>
      <c r="G11" s="142">
        <v>126</v>
      </c>
      <c r="H11" s="143">
        <v>450</v>
      </c>
    </row>
    <row r="12" spans="1:8" ht="15.75">
      <c r="A12" s="141"/>
      <c r="B12" s="142"/>
      <c r="C12" s="142"/>
      <c r="D12" s="143"/>
      <c r="E12" s="141">
        <v>44203</v>
      </c>
      <c r="F12" s="142" t="s">
        <v>83</v>
      </c>
      <c r="G12" s="142">
        <v>127</v>
      </c>
      <c r="H12" s="143">
        <v>800</v>
      </c>
    </row>
    <row r="13" spans="1:8" ht="15.75">
      <c r="A13" s="141"/>
      <c r="B13" s="142"/>
      <c r="C13" s="142"/>
      <c r="D13" s="143"/>
      <c r="E13" s="141">
        <v>44204</v>
      </c>
      <c r="F13" s="142" t="s">
        <v>84</v>
      </c>
      <c r="G13" s="142">
        <v>128</v>
      </c>
      <c r="H13" s="143">
        <v>300</v>
      </c>
    </row>
    <row r="14" spans="1:8" ht="15.75">
      <c r="A14" s="141"/>
      <c r="B14" s="142"/>
      <c r="C14" s="142"/>
      <c r="D14" s="143"/>
      <c r="E14" s="141">
        <v>44205</v>
      </c>
      <c r="F14" s="142" t="s">
        <v>85</v>
      </c>
      <c r="G14" s="142">
        <v>129</v>
      </c>
      <c r="H14" s="143">
        <v>200</v>
      </c>
    </row>
    <row r="15" spans="1:8" ht="15.75">
      <c r="A15" s="141"/>
      <c r="B15" s="142"/>
      <c r="C15" s="142"/>
      <c r="D15" s="143"/>
      <c r="E15" s="141">
        <v>44206</v>
      </c>
      <c r="F15" s="142" t="s">
        <v>80</v>
      </c>
      <c r="G15" s="142">
        <v>130</v>
      </c>
      <c r="H15" s="143">
        <v>200</v>
      </c>
    </row>
    <row r="16" spans="1:8" ht="15.75">
      <c r="A16" s="141"/>
      <c r="B16" s="142"/>
      <c r="C16" s="142"/>
      <c r="D16" s="143"/>
      <c r="E16" s="141">
        <v>44207</v>
      </c>
      <c r="F16" s="142" t="s">
        <v>130</v>
      </c>
      <c r="G16" s="142">
        <v>131</v>
      </c>
      <c r="H16" s="143">
        <v>1200</v>
      </c>
    </row>
    <row r="17" spans="1:8" ht="15.75">
      <c r="A17" s="141"/>
      <c r="B17" s="142"/>
      <c r="C17" s="142"/>
      <c r="D17" s="143"/>
      <c r="E17" s="141">
        <v>44208</v>
      </c>
      <c r="F17" s="142" t="s">
        <v>82</v>
      </c>
      <c r="G17" s="142">
        <v>132</v>
      </c>
      <c r="H17" s="143">
        <v>3000</v>
      </c>
    </row>
    <row r="18" spans="1:8" ht="15.75">
      <c r="A18" s="141"/>
      <c r="B18" s="142"/>
      <c r="C18" s="142"/>
      <c r="D18" s="143"/>
      <c r="E18" s="141">
        <v>44209</v>
      </c>
      <c r="F18" s="142" t="s">
        <v>85</v>
      </c>
      <c r="G18" s="142">
        <v>133</v>
      </c>
      <c r="H18" s="143">
        <v>100</v>
      </c>
    </row>
    <row r="19" spans="1:8" ht="15.75">
      <c r="A19" s="141"/>
      <c r="B19" s="142"/>
      <c r="C19" s="142"/>
      <c r="D19" s="143"/>
      <c r="E19" s="141">
        <v>44210</v>
      </c>
      <c r="F19" s="142" t="s">
        <v>81</v>
      </c>
      <c r="G19" s="142">
        <v>134</v>
      </c>
      <c r="H19" s="143">
        <v>150</v>
      </c>
    </row>
    <row r="20" spans="1:8" ht="15.75">
      <c r="A20" s="141"/>
      <c r="B20" s="142"/>
      <c r="C20" s="142"/>
      <c r="D20" s="143"/>
      <c r="E20" s="141">
        <v>44211</v>
      </c>
      <c r="F20" s="142" t="s">
        <v>86</v>
      </c>
      <c r="G20" s="142">
        <v>135</v>
      </c>
      <c r="H20" s="143">
        <v>1000</v>
      </c>
    </row>
    <row r="21" spans="1:8" ht="15.75">
      <c r="A21" s="141"/>
      <c r="B21" s="142"/>
      <c r="C21" s="142"/>
      <c r="D21" s="143"/>
      <c r="E21" s="141"/>
      <c r="F21" s="142"/>
      <c r="G21" s="142"/>
      <c r="H21" s="143"/>
    </row>
    <row r="22" spans="1:8" ht="15.75">
      <c r="A22" s="142"/>
      <c r="B22" s="142"/>
      <c r="C22" s="142"/>
      <c r="D22" s="143"/>
      <c r="E22" s="142"/>
      <c r="F22" s="142"/>
      <c r="G22" s="142"/>
      <c r="H22" s="144"/>
    </row>
    <row r="23" spans="1:8" ht="19.5">
      <c r="A23" s="145" t="s">
        <v>87</v>
      </c>
      <c r="B23" s="146"/>
      <c r="C23" s="147"/>
      <c r="D23" s="148">
        <f>SUM(D8:D22)</f>
        <v>11000</v>
      </c>
      <c r="E23" s="145" t="s">
        <v>88</v>
      </c>
      <c r="F23" s="146"/>
      <c r="G23" s="149"/>
      <c r="H23" s="150">
        <f>SUM(H8:H22)</f>
        <v>8150</v>
      </c>
    </row>
    <row r="24" spans="1:8" ht="19.5">
      <c r="A24" s="145" t="s">
        <v>89</v>
      </c>
      <c r="B24" s="146"/>
      <c r="C24" s="147"/>
      <c r="D24" s="151">
        <v>2850</v>
      </c>
      <c r="E24" s="145" t="s">
        <v>90</v>
      </c>
      <c r="F24" s="146"/>
      <c r="G24" s="149"/>
      <c r="H24" s="152">
        <f>D23-H23</f>
        <v>2850</v>
      </c>
    </row>
    <row r="25" spans="1:8" ht="19.5">
      <c r="A25" s="145" t="s">
        <v>91</v>
      </c>
      <c r="B25" s="146"/>
      <c r="C25" s="147"/>
      <c r="D25" s="153">
        <f>D24-H24</f>
        <v>0</v>
      </c>
      <c r="E25" s="145" t="s">
        <v>92</v>
      </c>
      <c r="F25" s="146"/>
      <c r="G25" s="149"/>
      <c r="H25" s="154" t="str">
        <f>IF(D25&gt;0,"Excess",IF(D25&lt;0,"Deficit","Reconciled"))</f>
        <v>Reconciled</v>
      </c>
    </row>
  </sheetData>
  <mergeCells count="14">
    <mergeCell ref="A25:C25"/>
    <mergeCell ref="E25:G25"/>
    <mergeCell ref="A6:D6"/>
    <mergeCell ref="E6:H6"/>
    <mergeCell ref="A23:C23"/>
    <mergeCell ref="E23:G23"/>
    <mergeCell ref="A24:C24"/>
    <mergeCell ref="E24:G24"/>
    <mergeCell ref="A1:A2"/>
    <mergeCell ref="B1:H1"/>
    <mergeCell ref="B2:H2"/>
    <mergeCell ref="A4:H4"/>
    <mergeCell ref="A5:E5"/>
    <mergeCell ref="G5:H5"/>
  </mergeCells>
  <conditionalFormatting sqref="D25">
    <cfRule type="cellIs" dxfId="1" priority="2" operator="lessThan">
      <formula>0</formula>
    </cfRule>
  </conditionalFormatting>
  <conditionalFormatting sqref="H25">
    <cfRule type="expression" dxfId="0" priority="1">
      <formula>"IF(E26&lt;0"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RAYBANN PROPERTIES</dc:creator>
  <cp:lastModifiedBy>RAYBANN PROPERTIES</cp:lastModifiedBy>
  <dcterms:created xsi:type="dcterms:W3CDTF">2026-05-19T06:40:57Z</dcterms:created>
  <dcterms:modified xsi:type="dcterms:W3CDTF">2026-05-19T07:17:47Z</dcterms:modified>
</cp:coreProperties>
</file>